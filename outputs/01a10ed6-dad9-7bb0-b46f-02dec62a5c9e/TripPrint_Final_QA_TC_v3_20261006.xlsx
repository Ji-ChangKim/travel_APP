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baf6afb59e4e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실행요약" sheetId="1" r:id="Rd7152b8a2f36479c"/>
    <x:sheet xmlns:r="http://schemas.openxmlformats.org/officeDocument/2006/relationships" name="TC" sheetId="2" r:id="R572dc1c2188843e5"/>
    <x:sheet xmlns:r="http://schemas.openxmlformats.org/officeDocument/2006/relationships" name="문구기준" sheetId="3" r:id="R13155d8f442e47ed"/>
    <x:sheet xmlns:r="http://schemas.openxmlformats.org/officeDocument/2006/relationships" name="테스트데이터" sheetId="4" r:id="Re2219f1e3b294a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 hh:mm"/>
    <x:numFmt numFmtId="201" formatCode="0"/>
    <x:numFmt numFmtId="202" formatCode="yyyy-mm-dd"/>
  </x:numFmts>
  <x:fonts count="4">
    <x:font>
      <x:sz val="11"/>
      <x:name val="Carlito"/>
    </x:font>
    <x:font>
      <x:sz val="11"/>
      <x:color rgb="FF203247"/>
      <x:name val="Arial"/>
    </x:font>
    <x:font>
      <x:b/>
      <x:sz val="16"/>
      <x:color rgb="FF203247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03247"/>
      </x:patternFill>
    </x:fill>
    <x:fill>
      <x:patternFill patternType="solid">
        <x:fgColor rgb="FFFFF4D5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1" fillId="0" borderId="0" xfId="0" applyNumberFormat="1" applyFont="1" applyFill="1" applyBorder="1" applyAlignment="1">
      <x:alignment vertical="top" wrapText="0"/>
    </x:xf>
    <x:xf numFmtId="0" fontId="1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vertical="top" wrapText="1"/>
    </x:xf>
    <x:xf numFmtId="201" fontId="1" fillId="3" borderId="0" xfId="0" applyNumberFormat="1" applyFont="1" applyFill="1" applyBorder="1" applyAlignment="1">
      <x:alignment vertical="top" wrapText="1"/>
    </x:xf>
    <x:xf numFmtId="202" fontId="1" fillId="3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horizontal="right" vertical="top" wrapText="1"/>
    </x:xf>
  </x:cellXfs>
  <x:cellStyles count="1">
    <x:cellStyle name="Normal" xfId="0"/>
  </x:cellStyles>
  <x:dxfs count="4">
    <x:dxf>
      <x:font>
        <x:b/>
        <x:color rgb="FFA61D24"/>
      </x:font>
      <x:fill>
        <x:patternFill patternType="solid">
          <x:bgColor rgb="FFFCE7E7"/>
        </x:patternFill>
      </x:fill>
    </x:dxf>
    <x:dxf>
      <x:font>
        <x:color rgb="FF8F4F00"/>
      </x:font>
      <x:fill>
        <x:patternFill patternType="solid">
          <x:bgColor rgb="FFFFE5C3"/>
        </x:patternFill>
      </x:fill>
    </x:dxf>
    <x:dxf>
      <x:font>
        <x:b/>
        <x:color rgb="FFA61D24"/>
      </x:font>
      <x:fill>
        <x:patternFill patternType="solid">
          <x:bgColor rgb="FFFCE7E7"/>
        </x:patternFill>
      </x:fill>
    </x:dxf>
    <x:dxf>
      <x:font>
        <x:color rgb="FF8F4F00"/>
      </x:font>
      <x:fill>
        <x:patternFill patternType="solid">
          <x:bgColor rgb="FFFFE5C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be2e1976744e9f" /><Relationship Type="http://schemas.openxmlformats.org/officeDocument/2006/relationships/theme" Target="/xl/theme/theme1.xml" Id="R3a8b9b14262f4515" /><Relationship Type="http://schemas.openxmlformats.org/officeDocument/2006/relationships/sharedStrings" Target="/xl/sharedStrings.xml" Id="R9a12b451800946a9" /><Relationship Type="http://schemas.openxmlformats.org/officeDocument/2006/relationships/worksheet" Target="/xl/worksheets/sheet1.xml" Id="Rd7152b8a2f36479c" /><Relationship Type="http://schemas.openxmlformats.org/officeDocument/2006/relationships/worksheet" Target="/xl/worksheets/sheet2.xml" Id="R572dc1c2188843e5" /><Relationship Type="http://schemas.openxmlformats.org/officeDocument/2006/relationships/worksheet" Target="/xl/worksheets/sheet3.xml" Id="R13155d8f442e47ed" /><Relationship Type="http://schemas.openxmlformats.org/officeDocument/2006/relationships/worksheet" Target="/xl/worksheets/sheet4.xml" Id="Re2219f1e3b294ac0" /></Relationships>
</file>

<file path=xl/tables/table1.xml><?xml version="1.0" encoding="utf-8"?>
<x:table xmlns:x="http://schemas.openxmlformats.org/spreadsheetml/2006/main" id="1" name="FinalQaCases" displayName="FinalQaCases" ref="A5:U167" headerRowCount="1" totalsRowCount="0" totalsRowShown="0">
  <x:autoFilter ref="A5:U167"/>
  <x:tableColumns count="21">
    <x:tableColumn id="1" name="TC ID"/>
    <x:tableColumn id="2" name="우선순위"/>
    <x:tableColumn id="3" name="종류"/>
    <x:tableColumn id="4" name="KO 결과"/>
    <x:tableColumn id="5" name="EN 결과"/>
    <x:tableColumn id="6" name="화면·기능"/>
    <x:tableColumn id="7" name="시나리오"/>
    <x:tableColumn id="8" name="언어"/>
    <x:tableColumn id="9" name="실행 환경"/>
    <x:tableColumn id="10" name="사전 조건·데이터"/>
    <x:tableColumn id="11" name="실행 절차"/>
    <x:tableColumn id="12" name="기대 결과"/>
    <x:tableColumn id="13" name="현재 구현·주의점"/>
    <x:tableColumn id="14" name="KO 실제 결과·차단 이유"/>
    <x:tableColumn id="15" name="EN 실제 결과·차단 이유"/>
    <x:tableColumn id="16" name="담당자"/>
    <x:tableColumn id="17" name="KO 일시 KST"/>
    <x:tableColumn id="18" name="EN 일시 KST"/>
    <x:tableColumn id="19" name="APK·기기·OS"/>
    <x:tableColumn id="20" name="증거·결함 ID"/>
    <x:tableColumn id="21" name="미해결 심각도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inalQaCopy" displayName="FinalQaCopy" ref="A5:F77" headerRowCount="1" totalsRowCount="0" totalsRowShown="0">
  <x:autoFilter ref="A5:F77"/>
  <x:tableColumns count="6">
    <x:tableColumn id="1" name="문구 ID"/>
    <x:tableColumn id="2" name="화면·상황"/>
    <x:tableColumn id="3" name="한국어 기준"/>
    <x:tableColumn id="4" name="English draft"/>
    <x:tableColumn id="5" name="문구 상태"/>
    <x:tableColumn id="6" name="검사 기준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inalQaData" displayName="FinalQaData" ref="A5:D19" headerRowCount="1" totalsRowCount="0" totalsRowShown="0">
  <x:autoFilter ref="A5:D19"/>
  <x:tableColumns count="4">
    <x:tableColumn id="1" name="데이터 ID"/>
    <x:tableColumn id="2" name="대상"/>
    <x:tableColumn id="3" name="준비 조건"/>
    <x:tableColumn id="4" name="대조 기준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inalQaScreens" displayName="FinalQaScreens" ref="A25:D40" headerRowCount="1" totalsRowCount="0" totalsRowShown="0">
  <x:autoFilter ref="A25:D40"/>
  <x:tableColumns count="4">
    <x:tableColumn id="1" name="화면"/>
    <x:tableColumn id="2" name="진입 경로"/>
    <x:tableColumn id="3" name="상태·확인 범위"/>
    <x:tableColumn id="4" name="실행 대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fb64cff21c749f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de395b00d1a49a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ef89b561af04df8" /><Relationship Type="http://schemas.openxmlformats.org/officeDocument/2006/relationships/table" Target="/xl/tables/table4.xml" Id="R24b87e33d21843a5" /></Relationships>
</file>

<file path=xl/worksheets/sheet1.xml><?xml version="1.0" encoding="utf-8"?>
<x:worksheet xmlns:x="http://schemas.openxmlformats.org/spreadsheetml/2006/main">
  <x:sheetPr>
    <x:tabColor rgb="FF203247"/>
  </x:sheetPr>
  <x:sheetViews>
    <x:sheetView showGridLines="0" workbookViewId="0"/>
  </x:sheetViews>
  <x:sheetFormatPr defaultRowHeight="15"/>
  <x:cols>
    <x:col min="1" max="1" width="25" hidden="0" customWidth="1"/>
    <x:col min="2" max="2" width="71.25" hidden="0" customWidth="1"/>
    <x:col min="3" max="3" width="3.25" hidden="0" customWidth="1"/>
    <x:col min="4" max="4" width="18.75" hidden="0" customWidth="1"/>
    <x:col min="5" max="5" width="13.130000114440918" hidden="0" customWidth="1"/>
    <x:col min="6" max="6" width="14.380000114440918" hidden="0" customWidth="1"/>
    <x:col min="7" max="7" width="15" hidden="0" customWidth="1"/>
    <x:col min="8" max="8" width="24.3799991607666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</x:row>
    <x:row r="2" ht="27" customHeight="1">
      <x:c r="A2" s="5" t="str">
        <x:v>TripPrint 최종 QA 실행표</x:v>
      </x:c>
      <x:c r="B2" s="3"/>
      <x:c r="C2" s="3"/>
      <x:c r="D2" s="3"/>
      <x:c r="E2" s="3"/>
      <x:c r="F2" s="3"/>
      <x:c r="G2" s="3"/>
      <x:c r="H2" s="3"/>
    </x:row>
    <x:row r="3">
      <x:c r="A3" s="3"/>
      <x:c r="B3" s="3"/>
      <x:c r="C3" s="3"/>
      <x:c r="D3" s="3"/>
      <x:c r="E3" s="3"/>
      <x:c r="F3" s="3"/>
      <x:c r="G3" s="3"/>
      <x:c r="H3" s="3"/>
    </x:row>
    <x:row r="4" ht="34.5" customHeight="1">
      <x:c r="A4" s="10" t="str">
        <x:v>빌드·실행 기준</x:v>
      </x:c>
      <x:c r="B4" s="10" t="str">
        <x:v>값 또는 입력</x:v>
      </x:c>
      <x:c r="C4" s="3"/>
      <x:c r="D4" s="10" t="str">
        <x:v>종류</x:v>
      </x:c>
      <x:c r="E4" s="10" t="str">
        <x:v>TC 수</x:v>
      </x:c>
      <x:c r="F4" s="10" t="str">
        <x:v>KO 통과</x:v>
      </x:c>
      <x:c r="G4" s="10" t="str">
        <x:v>EN 통과</x:v>
      </x:c>
      <x:c r="H4" s="10" t="str">
        <x:v>실패 실행 수</x:v>
      </x:c>
    </x:row>
    <x:row r="5" ht="27" customHeight="1">
      <x:c r="A5" s="3" t="str">
        <x:v>기능 소스</x:v>
      </x:c>
      <x:c r="B5" s="3" t="str">
        <x:v>319510869e2f4b27bcdee44955ffa396a1eb5f5c</x:v>
      </x:c>
      <x:c r="C5" s="3"/>
      <x:c r="D5" s="3" t="str">
        <x:v>기능</x:v>
      </x:c>
      <x:c r="E5" s="16" t="n">
        <x:f>COUNTIFS('TC'!$C$6:$C$167,D5)</x:f>
        <x:v>100</x:v>
      </x:c>
      <x:c r="F5" s="16" t="n">
        <x:f>COUNTIFS('TC'!$C$6:$C$167,D5,'TC'!$H$6:$H$167,"KO·EN",'TC'!$D$6:$D$167,"통과")</x:f>
        <x:v>0</x:v>
      </x:c>
      <x:c r="G5" s="16" t="n">
        <x:f>COUNTIFS('TC'!$C$6:$C$167,D5,'TC'!$E$6:$E$167,"통과")</x:f>
        <x:v>0</x:v>
      </x:c>
      <x:c r="H5" s="16" t="n">
        <x:f>COUNTIFS('TC'!$C$6:$C$167,D5,'TC'!$D$6:$D$167,"실패")+COUNTIFS('TC'!$C$6:$C$167,D5,'TC'!$E$6:$E$167,"실패")</x:f>
        <x:v>0</x:v>
      </x:c>
    </x:row>
    <x:row r="6" ht="27" customHeight="1">
      <x:c r="A6" s="3" t="str">
        <x:v>웹 릴리즈</x:v>
      </x:c>
      <x:c r="B6" s="3" t="str">
        <x:v>test-1-no-dummy</x:v>
      </x:c>
      <x:c r="C6" s="3"/>
      <x:c r="D6" s="3" t="str">
        <x:v>문구</x:v>
      </x:c>
      <x:c r="E6" s="16" t="n">
        <x:f>COUNTIFS('TC'!$C$6:$C$167,D6)</x:f>
        <x:v>32</x:v>
      </x:c>
      <x:c r="F6" s="16" t="n">
        <x:f>COUNTIFS('TC'!$C$6:$C$167,D6,'TC'!$H$6:$H$167,"KO·EN",'TC'!$D$6:$D$167,"통과")</x:f>
        <x:v>0</x:v>
      </x:c>
      <x:c r="G6" s="16" t="n">
        <x:f>COUNTIFS('TC'!$C$6:$C$167,D6,'TC'!$E$6:$E$167,"통과")</x:f>
        <x:v>0</x:v>
      </x:c>
      <x:c r="H6" s="16" t="n">
        <x:f>COUNTIFS('TC'!$C$6:$C$167,D6,'TC'!$D$6:$D$167,"실패")+COUNTIFS('TC'!$C$6:$C$167,D6,'TC'!$E$6:$E$167,"실패")</x:f>
        <x:v>0</x:v>
      </x:c>
    </x:row>
    <x:row r="7" ht="27" customHeight="1">
      <x:c r="A7" s="3" t="str">
        <x:v>앱·프로필</x:v>
      </x:c>
      <x:c r="B7" s="3" t="str">
        <x:v>TripPrint 0.1.0 / preview / Android APK / internal</x:v>
      </x:c>
      <x:c r="C7" s="3"/>
      <x:c r="D7" s="3" t="str">
        <x:v>영문</x:v>
      </x:c>
      <x:c r="E7" s="16" t="n">
        <x:f>COUNTIFS('TC'!$C$6:$C$167,D7)</x:f>
        <x:v>30</x:v>
      </x:c>
      <x:c r="F7" s="16" t="n">
        <x:f>COUNTIFS('TC'!$C$6:$C$167,D7,'TC'!$H$6:$H$167,"KO·EN",'TC'!$D$6:$D$167,"통과")</x:f>
        <x:v>0</x:v>
      </x:c>
      <x:c r="G7" s="16" t="n">
        <x:f>COUNTIFS('TC'!$C$6:$C$167,D7,'TC'!$E$6:$E$167,"통과")</x:f>
        <x:v>0</x:v>
      </x:c>
      <x:c r="H7" s="16" t="n">
        <x:f>COUNTIFS('TC'!$C$6:$C$167,D7,'TC'!$D$6:$D$167,"실패")+COUNTIFS('TC'!$C$6:$C$167,D7,'TC'!$E$6:$E$167,"실패")</x:f>
        <x:v>0</x:v>
      </x:c>
    </x:row>
    <x:row r="8" ht="27" customHeight="1">
      <x:c r="A8" s="3" t="str">
        <x:v>Expo 프로젝트</x:v>
      </x:c>
      <x:c r="B8" s="3" t="str">
        <x:v>rupang/travel-app / com.travelapp.mobile</x:v>
      </x:c>
      <x:c r="C8" s="3"/>
      <x:c r="D8" s="3" t="str">
        <x:v>전체</x:v>
      </x:c>
      <x:c r="E8" s="16" t="n">
        <x:f>SUM(E5:E7)</x:f>
        <x:v>162</x:v>
      </x:c>
      <x:c r="F8" s="16" t="n">
        <x:f>SUM(F5:F7)</x:f>
        <x:v>0</x:v>
      </x:c>
      <x:c r="G8" s="16" t="n">
        <x:f>SUM(G5:G7)</x:f>
        <x:v>0</x:v>
      </x:c>
      <x:c r="H8" s="16" t="n">
        <x:f>SUM(H5:H7)</x:f>
        <x:v>0</x:v>
      </x:c>
    </x:row>
    <x:row r="9" ht="31.5" customHeight="1">
      <x:c r="A9" s="3" t="str">
        <x:v>APK Build ID</x:v>
      </x:c>
      <x:c r="B9" s="11" t="str"/>
      <x:c r="C9" s="3"/>
      <x:c r="D9" s="3"/>
      <x:c r="E9" s="3"/>
      <x:c r="F9" s="3"/>
      <x:c r="G9" s="3"/>
      <x:c r="H9" s="3"/>
    </x:row>
    <x:row r="10" ht="34.5" customHeight="1">
      <x:c r="A10" s="3" t="str">
        <x:v>APK URL</x:v>
      </x:c>
      <x:c r="B10" s="11" t="str"/>
      <x:c r="C10" s="3"/>
      <x:c r="D10" s="10" t="str">
        <x:v>언어</x:v>
      </x:c>
      <x:c r="E10" s="10" t="str">
        <x:v>대상 TC</x:v>
      </x:c>
      <x:c r="F10" s="10" t="str">
        <x:v>통과</x:v>
      </x:c>
      <x:c r="G10" s="10" t="str">
        <x:v>미실행</x:v>
      </x:c>
      <x:c r="H10" s="10" t="str">
        <x:v>차단</x:v>
      </x:c>
    </x:row>
    <x:row r="11" ht="27" customHeight="1">
      <x:c r="A11" s="3" t="str">
        <x:v>Android versionCode</x:v>
      </x:c>
      <x:c r="B11" s="13" t="str"/>
      <x:c r="C11" s="3"/>
      <x:c r="D11" s="3" t="str">
        <x:v>KO</x:v>
      </x:c>
      <x:c r="E11" s="16" t="n">
        <x:f>COUNTIFS('TC'!$H$6:$H$167,"KO·EN")</x:f>
        <x:v>132</x:v>
      </x:c>
      <x:c r="F11" s="16" t="n">
        <x:f>COUNTIFS('TC'!$H$6:$H$167,"KO·EN",'TC'!$D$6:$D$167,"통과")</x:f>
        <x:v>0</x:v>
      </x:c>
      <x:c r="G11" s="16" t="n">
        <x:f>COUNTIFS('TC'!$H$6:$H$167,"KO·EN",'TC'!$D$6:$D$167,"미실행")</x:f>
        <x:v>130</x:v>
      </x:c>
      <x:c r="H11" s="16" t="n">
        <x:f>COUNTIFS('TC'!$H$6:$H$167,"KO·EN",'TC'!$D$6:$D$167,"차단")</x:f>
        <x:v>2</x:v>
      </x:c>
    </x:row>
    <x:row r="12" ht="27" customHeight="1">
      <x:c r="A12" s="3" t="str">
        <x:v>기기·OS</x:v>
      </x:c>
      <x:c r="B12" s="11" t="str"/>
      <x:c r="C12" s="3"/>
      <x:c r="D12" s="3" t="str">
        <x:v>EN</x:v>
      </x:c>
      <x:c r="E12" s="16" t="n">
        <x:f>COUNTA('TC'!$A$6:$A$167)</x:f>
        <x:v>162</x:v>
      </x:c>
      <x:c r="F12" s="16" t="n">
        <x:f>COUNTIFS('TC'!$E$6:$E$167,"통과")</x:f>
        <x:v>0</x:v>
      </x:c>
      <x:c r="G12" s="16" t="n">
        <x:f>COUNTIFS('TC'!$E$6:$E$167,"미실행")</x:f>
        <x:v>0</x:v>
      </x:c>
      <x:c r="H12" s="16" t="n">
        <x:f>COUNTIFS('TC'!$E$6:$E$167,"차단")</x:f>
        <x:v>162</x:v>
      </x:c>
    </x:row>
    <x:row r="13" ht="31.5" customHeight="1">
      <x:c r="A13" s="3" t="str">
        <x:v>QA 담당자</x:v>
      </x:c>
      <x:c r="B13" s="11" t="str"/>
      <x:c r="C13" s="3"/>
      <x:c r="D13" s="3"/>
      <x:c r="E13" s="3"/>
      <x:c r="F13" s="3"/>
      <x:c r="G13" s="3"/>
      <x:c r="H13" s="3"/>
    </x:row>
    <x:row r="14" ht="34.5" customHeight="1">
      <x:c r="A14" s="3" t="str">
        <x:v>지원 언어</x:v>
      </x:c>
      <x:c r="B14" s="11" t="str">
        <x:v>KO만</x:v>
      </x:c>
      <x:c r="C14" s="3"/>
      <x:c r="D14" s="10" t="str">
        <x:v>언어</x:v>
      </x:c>
      <x:c r="E14" s="10" t="str">
        <x:v>P0 대상</x:v>
      </x:c>
      <x:c r="F14" s="10" t="str">
        <x:v>P0 통과</x:v>
      </x:c>
      <x:c r="G14" s="10" t="str">
        <x:v>S0·S1 미해결</x:v>
      </x:c>
      <x:c r="H14" s="10" t="str">
        <x:v>QA 판정</x:v>
      </x:c>
    </x:row>
    <x:row r="15" ht="43.5" customHeight="1">
      <x:c r="A15" s="3" t="str">
        <x:v>APK 설치 실행</x:v>
      </x:c>
      <x:c r="B15" s="11" t="str">
        <x:v>대기</x:v>
      </x:c>
      <x:c r="C15" s="3"/>
      <x:c r="D15" s="3" t="str">
        <x:v>KO</x:v>
      </x:c>
      <x:c r="E15" s="16" t="n">
        <x:f>COUNTIFS('TC'!$H$6:$H$167,"KO·EN",'TC'!$B$6:$B$167,"P0")</x:f>
        <x:v>64</x:v>
      </x:c>
      <x:c r="F15" s="16" t="n">
        <x:f>COUNTIFS('TC'!$H$6:$H$167,"KO·EN",'TC'!$B$6:$B$167,"P0",'TC'!$D$6:$D$167,"통과")</x:f>
        <x:v>0</x:v>
      </x:c>
      <x:c r="G15" s="16" t="n">
        <x:f>COUNTIFS('TC'!$H$6:$H$167,"KO·EN",'TC'!$U$6:$U$167,"S0")+COUNTIFS('TC'!$H$6:$H$167,"KO·EN",'TC'!$U$6:$U$167,"S1")</x:f>
        <x:v>0</x:v>
      </x:c>
      <x:c r="H15" s="3" t="str">
        <x:f>IF(OR(B9="",B10="",B11="",B12="",B13="",B15&lt;&gt;"완료"),"APK·기기 입력 필요",IF(G15&gt;0,"결함 해결 필요",IF(F15&lt;E15,"P0 QA 미완료",IF(COUNTIFS('TC'!$D$6:$D$167,"실패")+COUNTIFS('TC'!$D$6:$D$167,"차단")&gt;0,"실패·차단 확인","P0 통과 / P1 검토"))))</x:f>
        <x:v>APK·기기 입력 필요</x:v>
      </x:c>
    </x:row>
    <x:row r="16" ht="43.5" customHeight="1">
      <x:c r="A16" s="3" t="str">
        <x:v>QA 시작일 KST</x:v>
      </x:c>
      <x:c r="B16" s="14"/>
      <x:c r="C16" s="3"/>
      <x:c r="D16" s="3" t="str">
        <x:v>EN</x:v>
      </x:c>
      <x:c r="E16" s="16" t="n">
        <x:f>COUNTIFS('TC'!$B$6:$B$167,"P0")</x:f>
        <x:v>82</x:v>
      </x:c>
      <x:c r="F16" s="16" t="n">
        <x:f>COUNTIFS('TC'!$B$6:$B$167,"P0",'TC'!$E$6:$E$167,"통과")</x:f>
        <x:v>0</x:v>
      </x:c>
      <x:c r="G16" s="16" t="n">
        <x:f>COUNTIFS('TC'!$U$6:$U$167,"S0")+COUNTIFS('TC'!$U$6:$U$167,"S1")</x:f>
        <x:v>0</x:v>
      </x:c>
      <x:c r="H16" s="3" t="str">
        <x:f>IF(B14&lt;&gt;"KO·EN","영문 빌드 필요",IF(OR(B9="",B10="",B11="",B12="",B13="",B15&lt;&gt;"완료"),"APK·기기 입력 필요",IF(G16&gt;0,"결함 해결 필요",IF(F16&lt;E16,"P0 QA 미완료","P0 통과 / P1 검토"))))</x:f>
        <x:v>영문 빌드 필요</x:v>
      </x:c>
    </x:row>
    <x:row r="17">
      <x:c r="A17" s="3"/>
      <x:c r="B17" s="3"/>
      <x:c r="C17" s="3"/>
      <x:c r="D17" s="3"/>
      <x:c r="E17" s="3"/>
      <x:c r="F17" s="3"/>
      <x:c r="G17" s="3"/>
      <x:c r="H17" s="3"/>
    </x:row>
    <x:row r="18" ht="34.5" customHeight="1">
      <x:c r="A18" s="10" t="str">
        <x:v>실행 방법</x:v>
      </x:c>
      <x:c r="B18" s="10" t="str">
        <x:v>기준</x:v>
      </x:c>
      <x:c r="C18" s="3"/>
      <x:c r="D18" s="3"/>
      <x:c r="E18" s="3"/>
      <x:c r="F18" s="3"/>
      <x:c r="G18" s="3"/>
      <x:c r="H18" s="3"/>
    </x:row>
    <x:row r="19" ht="34.5" customHeight="1">
      <x:c r="A19" s="3" t="str">
        <x:v>현재 실행 상태</x:v>
      </x:c>
      <x:c r="B19" s="3" t="str">
        <x:v>APK 빌드·배포는 사용자가 진행. 새 APK는 아직 없으므로 KO 실기기 통과 0건. EN은 미구현으로 차단. TC 파일 완성을 서비스 출시 승인으로 해석하지 않는다.</x:v>
      </x:c>
      <x:c r="C19" s="3"/>
      <x:c r="D19" s="10" t="str">
        <x:v>빌드 전 확인</x:v>
      </x:c>
      <x:c r="E19" s="10" t="str">
        <x:v>이번 결과</x:v>
      </x:c>
      <x:c r="F19" s="10" t="str">
        <x:v>범위</x:v>
      </x:c>
      <x:c r="G19" s="10" t="str">
        <x:v>실행 날짜</x:v>
      </x:c>
      <x:c r="H19" s="10" t="str">
        <x:v>비고</x:v>
      </x:c>
    </x:row>
    <x:row r="20" ht="63.75" customHeight="1">
      <x:c r="A20" s="3" t="str">
        <x:v>기록 순서</x:v>
      </x:c>
      <x:c r="B20" s="3" t="str">
        <x:v>APK Build ID·URL·versionCode·기기·담당자 입력 후 TC-001,002,005,012,013,018,022,026,032,033,036,044,047,050,061,077,079~083,086,091,098,099와 TXT-001,003,004,027~031을 먼저 실행.</x:v>
      </x:c>
      <x:c r="C20" s="3"/>
      <x:c r="D20" s="3" t="str">
        <x:v>npm run check</x:v>
      </x:c>
      <x:c r="E20" s="3" t="str">
        <x:v>통과</x:v>
      </x:c>
      <x:c r="F20" s="3" t="str">
        <x:v>소스 검사</x:v>
      </x:c>
      <x:c r="G20" s="3" t="str">
        <x:v>2026-10-06</x:v>
      </x:c>
      <x:c r="H20" s="3" t="str">
        <x:v>TS 엄격·ESLint 경고 0·Prettier</x:v>
      </x:c>
    </x:row>
    <x:row r="21" ht="63.75" customHeight="1">
      <x:c r="A21" s="3" t="str">
        <x:v>판정 입력</x:v>
      </x:c>
      <x:c r="B21" s="3" t="str">
        <x:v>TC 노란 칸의 KO/EN 결과·실제 결과·담당자·일시·APK·증거를 각각 기록. 차단과 N/A는 이유 필수. 웹 결과를 APK 결과로 복사하지 않는다.</x:v>
      </x:c>
      <x:c r="C21" s="3"/>
      <x:c r="D21" s="3" t="str">
        <x:v>test:release</x:v>
      </x:c>
      <x:c r="E21" s="3" t="str">
        <x:v>20/20 통과</x:v>
      </x:c>
      <x:c r="F21" s="3" t="str">
        <x:v>로컬 검사</x:v>
      </x:c>
      <x:c r="G21" s="3" t="str">
        <x:v>2026-10-06</x:v>
      </x:c>
      <x:c r="H21" s="3" t="str">
        <x:v>루트·모바일 네이티브 연결 포함</x:v>
      </x:c>
    </x:row>
    <x:row r="22" ht="63.75" customHeight="1">
      <x:c r="A22" s="3" t="str">
        <x:v>영수증 핵심 대조</x:v>
      </x:c>
      <x:c r="B22" s="3" t="str">
        <x:v>Kagerou Cafe / 2026-09-28 16:36 / JPY 2450 / DAY3. 입점 13:50·내세금 222·거스름돈 0과 구별. 자동 추출 후 오독만 수정하며 원문 메뉴를 보존.</x:v>
      </x:c>
      <x:c r="C22" s="3"/>
      <x:c r="D22" s="3" t="str">
        <x:v>Android 번들</x:v>
      </x:c>
      <x:c r="E22" s="3" t="str">
        <x:v>통과</x:v>
      </x:c>
      <x:c r="F22" s="3" t="str">
        <x:v>JS·이미지</x:v>
      </x:c>
      <x:c r="G22" s="3" t="str">
        <x:v>2026-10-06</x:v>
      </x:c>
      <x:c r="H22" s="3" t="str">
        <x:v>1,504 모듈·51개 자산. APK 아님</x:v>
      </x:c>
    </x:row>
    <x:row r="23" ht="63.75" customHeight="1">
      <x:c r="A23" s="3" t="str">
        <x:v>사진 선택</x:v>
      </x:c>
      <x:c r="B23" s="3" t="str">
        <x:v>정보 확인 Y/N와 원본 보관 Y/N를 각각 확인. 정보만 저장은 원본 삭제·재등록 차단까지 검사. 사진 보관은 커뮤니티 공개 동의가 아니다.</x:v>
      </x:c>
      <x:c r="C23" s="3"/>
      <x:c r="D23" s="3" t="str">
        <x:v>이전 공개 웹</x:v>
      </x:c>
      <x:c r="E23" s="3" t="str">
        <x:v>통과</x:v>
      </x:c>
      <x:c r="F23" s="3" t="str">
        <x:v>게스트 웹</x:v>
      </x:c>
      <x:c r="G23" s="3" t="str">
        <x:v>2026-10-06</x:v>
      </x:c>
      <x:c r="H23" s="3" t="str">
        <x:v>홈·인증 복귀·Haru·파일 해시</x:v>
      </x:c>
    </x:row>
    <x:row r="24" ht="63.75" customHeight="1">
      <x:c r="A24" s="3" t="str">
        <x:v>현재 UX 차이</x:v>
      </x:c>
      <x:c r="B24" s="3" t="str">
        <x:v>TC-079: 전송 전 앱 사진 미리보기 없음. TC-080: 정보 확인·사진 선택·저장 버튼이 분리되어 최종 확인 한 번 UX 미반영. 두 항목은 소스 검토 기준 차단.</x:v>
      </x:c>
      <x:c r="C24" s="3"/>
      <x:c r="D24" s="3" t="str">
        <x:v>새 APK 기기 QA</x:v>
      </x:c>
      <x:c r="E24" s="3" t="str">
        <x:v>미실행</x:v>
      </x:c>
      <x:c r="F24" s="3" t="str">
        <x:v>Android</x:v>
      </x:c>
      <x:c r="G24" s="3" t="str">
        <x:v>2026-10-06</x:v>
      </x:c>
      <x:c r="H24" s="3" t="str">
        <x:v>사용자 빌드 이후 TC 기록</x:v>
      </x:c>
    </x:row>
    <x:row r="25" ht="60" customHeight="1">
      <x:c r="A25" s="3" t="str">
        <x:v>현재 기능 범위</x:v>
      </x:c>
      <x:c r="B25" s="3" t="str">
        <x:v>이메일 로그인·D1/R2 저장·단일 Google Maps 공유와 외부 지도 경로. Google OAuth·Places 조회·전체 북마크 동기화·앱 내 지도 동선 화면은 완료로 표시하지 않는다.</x:v>
      </x:c>
      <x:c r="C25" s="3"/>
      <x:c r="D25" s="3"/>
      <x:c r="E25" s="3"/>
      <x:c r="F25" s="3"/>
      <x:c r="G25" s="3"/>
      <x:c r="H25" s="3"/>
    </x:row>
    <x:row r="26" ht="58.5" customHeight="1">
      <x:c r="A26" s="3" t="str">
        <x:v>영문 범위</x:v>
      </x:c>
      <x:c r="B26" s="3" t="str">
        <x:v>기능 100·문구 32건도 EN 지원 빌드에서 다시 검사. 영문 전용 30건은 KO N/A. 72개 영문 문구는 검토 초안으로 앱에 반영된 문자열이 아니다.</x:v>
      </x:c>
      <x:c r="C26" s="3"/>
      <x:c r="D26" s="3"/>
      <x:c r="E26" s="3"/>
      <x:c r="F26" s="3"/>
      <x:c r="G26" s="3"/>
      <x:c r="H26" s="3"/>
    </x:row>
    <x:row r="27" ht="58.5" customHeight="1">
      <x:c r="A27" s="3" t="str">
        <x:v>결함 기준</x:v>
      </x:c>
      <x:c r="B27" s="3" t="str">
        <x:v>S0 개인정보 노출·데이터 유실, S1 로그인·저장·핵심 기록 불가, S2 기타 영향. 해결된 결함의 미해결 심각도는 지우고 증거·결함 ID에 해결 이력을 보존.</x:v>
      </x:c>
      <x:c r="C27" s="3"/>
      <x:c r="D27" s="6" t="str">
        <x:v>위 검사는 TC의 실기기 통과를 대신하지 않습니다.</x:v>
      </x:c>
      <x:c r="E27" s="3"/>
      <x:c r="F27" s="3"/>
      <x:c r="G27" s="3"/>
      <x:c r="H27" s="3"/>
    </x:row>
    <x:row r="28" ht="60" customHeight="1">
      <x:c r="A28" s="3" t="str">
        <x:v>완료 기준</x:v>
      </x:c>
      <x:c r="B28" s="3" t="str">
        <x:v>P0 전부 통과, P1 전부 실행 결과·미해결 영향 검토, S0/S1 0건, 차단/N/A 사유 검토. 카메라·권한·공유·뒤로가기·업데이트는 실기기 증거 필수. 영문 출시에는 EN 회차 완료 필요.</x:v>
      </x:c>
      <x:c r="C28" s="3"/>
      <x:c r="D28" s="3"/>
      <x:c r="E28" s="3"/>
      <x:c r="F28" s="3"/>
      <x:c r="G28" s="3"/>
      <x:c r="H28" s="3"/>
    </x:row>
    <x:row r="29" ht="58.5" customHeight="1">
      <x:c r="A29" s="3" t="str">
        <x:v>데이터 정리</x:v>
      </x:c>
      <x:c r="B29" s="3" t="str">
        <x:v>QA 계정이 만든 여행·사진·게시글만 정리한다. 고객·기존 실제 여행을 삭제하지 않는다. 개인정보·토큰·서명 URL·영수증 카드번호는 증거에서 가린다.</x:v>
      </x:c>
      <x:c r="C29" s="3"/>
      <x:c r="D29" s="6" t="str">
        <x:v>빌드: 프로젝트 루트에서 npm run build:apk</x:v>
      </x:c>
      <x:c r="E29" s="3"/>
      <x:c r="F29" s="3"/>
      <x:c r="G29" s="3"/>
      <x:c r="H29" s="3"/>
    </x:row>
    <x:row r="30">
      <x:c r="A30" s="3"/>
      <x:c r="B30" s="3"/>
      <x:c r="C30" s="3"/>
      <x:c r="D30" s="3"/>
      <x:c r="E30" s="3"/>
      <x:c r="F30" s="3"/>
      <x:c r="G30" s="3"/>
      <x:c r="H30" s="3"/>
    </x:row>
    <x:row r="31">
      <x:c r="A31" s="3"/>
      <x:c r="B31" s="3"/>
      <x:c r="C31" s="3"/>
      <x:c r="D31" s="6" t="str">
        <x:v>빌드 완료 후 APK URL·ID·versionCode를 B9:B11에 입력</x:v>
      </x:c>
      <x:c r="E31" s="3"/>
      <x:c r="F31" s="3"/>
      <x:c r="G31" s="3"/>
      <x:c r="H31" s="3"/>
    </x:row>
    <x:row r="32">
      <x:c r="A32" s="3"/>
      <x:c r="B32" s="3"/>
      <x:c r="C32" s="3"/>
      <x:c r="D32" s="3"/>
      <x:c r="E32" s="3"/>
      <x:c r="F32" s="3"/>
      <x:c r="G32" s="3"/>
      <x:c r="H32" s="3"/>
    </x:row>
    <x:row r="33">
      <x:c r="A33" s="3"/>
      <x:c r="B33" s="3"/>
      <x:c r="C33" s="3"/>
      <x:c r="D33" s="3"/>
      <x:c r="E33" s="3"/>
      <x:c r="F33" s="3"/>
      <x:c r="G33" s="3"/>
      <x:c r="H33" s="3"/>
    </x:row>
    <x:row r="34">
      <x:c r="A34" s="3"/>
      <x:c r="B34" s="3"/>
      <x:c r="C34" s="3"/>
      <x:c r="D34" s="3"/>
      <x:c r="E34" s="3"/>
      <x:c r="F34" s="3"/>
      <x:c r="G34" s="3"/>
      <x:c r="H34" s="3"/>
    </x:row>
    <x:row r="35">
      <x:c r="A35" s="3"/>
      <x:c r="B35" s="3"/>
      <x:c r="C35" s="3"/>
      <x:c r="D35" s="3"/>
      <x:c r="E35" s="3"/>
      <x:c r="F35" s="3"/>
      <x:c r="G35" s="3"/>
      <x:c r="H35" s="3"/>
    </x:row>
    <x:row r="36">
      <x:c r="A36" s="3"/>
      <x:c r="B36" s="3"/>
      <x:c r="C36" s="3"/>
      <x:c r="D36" s="3"/>
      <x:c r="E36" s="3"/>
      <x:c r="F36" s="3"/>
      <x:c r="G36" s="3"/>
      <x:c r="H36" s="3"/>
    </x:row>
    <x:row r="37">
      <x:c r="A37" s="3"/>
      <x:c r="B37" s="3"/>
      <x:c r="C37" s="3"/>
      <x:c r="D37" s="3"/>
      <x:c r="E37" s="3"/>
      <x:c r="F37" s="3"/>
      <x:c r="G37" s="3"/>
      <x:c r="H37" s="3"/>
    </x:row>
    <x:row r="38">
      <x:c r="A38" s="3"/>
      <x:c r="B38" s="3"/>
      <x:c r="C38" s="3"/>
      <x:c r="D38" s="3"/>
      <x:c r="E38" s="3"/>
      <x:c r="F38" s="3"/>
      <x:c r="G38" s="3"/>
      <x:c r="H38" s="3"/>
    </x:row>
    <x:row r="39">
      <x:c r="A39" s="3"/>
      <x:c r="B39" s="3"/>
      <x:c r="C39" s="3"/>
      <x:c r="D39" s="3"/>
      <x:c r="E39" s="3"/>
      <x:c r="F39" s="3"/>
      <x:c r="G39" s="3"/>
      <x:c r="H39" s="3"/>
    </x:row>
    <x:row r="40">
      <x:c r="A40" s="3"/>
      <x:c r="B40" s="3"/>
      <x:c r="C40" s="3"/>
      <x:c r="D40" s="3"/>
      <x:c r="E40" s="3"/>
      <x:c r="F40" s="3"/>
      <x:c r="G40" s="3"/>
      <x:c r="H40" s="3"/>
    </x:row>
    <x:row r="41">
      <x:c r="A41" s="3"/>
      <x:c r="B41" s="3"/>
      <x:c r="C41" s="3"/>
      <x:c r="D41" s="3"/>
      <x:c r="E41" s="3"/>
      <x:c r="F41" s="3"/>
      <x:c r="G41" s="3"/>
      <x:c r="H41" s="3"/>
    </x:row>
    <x:row r="42">
      <x:c r="A42" s="3"/>
      <x:c r="B42" s="3"/>
      <x:c r="C42" s="3"/>
      <x:c r="D42" s="3"/>
      <x:c r="E42" s="3"/>
      <x:c r="F42" s="3"/>
      <x:c r="G42" s="3"/>
      <x:c r="H42" s="3"/>
    </x:row>
    <x:row r="43">
      <x:c r="A43" s="3"/>
      <x:c r="B43" s="3"/>
      <x:c r="C43" s="3"/>
      <x:c r="D43" s="3"/>
      <x:c r="E43" s="3"/>
      <x:c r="F43" s="3"/>
      <x:c r="G43" s="3"/>
      <x:c r="H43" s="3"/>
    </x:row>
    <x:row r="44">
      <x:c r="A44" s="3"/>
      <x:c r="B44" s="3"/>
      <x:c r="C44" s="3"/>
      <x:c r="D44" s="3"/>
      <x:c r="E44" s="3"/>
      <x:c r="F44" s="3"/>
      <x:c r="G44" s="3"/>
      <x:c r="H44" s="3"/>
    </x:row>
    <x:row r="45">
      <x:c r="A45" s="3"/>
      <x:c r="B45" s="3"/>
      <x:c r="C45" s="3"/>
      <x:c r="D45" s="3"/>
      <x:c r="E45" s="3"/>
      <x:c r="F45" s="3"/>
      <x:c r="G45" s="3"/>
      <x:c r="H45" s="3"/>
    </x:row>
    <x:row r="46">
      <x:c r="A46" s="3"/>
      <x:c r="B46" s="3"/>
      <x:c r="C46" s="3"/>
      <x:c r="D46" s="3"/>
      <x:c r="E46" s="3"/>
      <x:c r="F46" s="3"/>
      <x:c r="G46" s="3"/>
      <x:c r="H46" s="3"/>
    </x:row>
    <x:row r="47">
      <x:c r="A47" s="3"/>
      <x:c r="B47" s="3"/>
      <x:c r="C47" s="3"/>
      <x:c r="D47" s="3"/>
      <x:c r="E47" s="3"/>
      <x:c r="F47" s="3"/>
      <x:c r="G47" s="3"/>
      <x:c r="H47" s="3"/>
    </x:row>
    <x:row r="48">
      <x:c r="A48" s="3"/>
      <x:c r="B48" s="3"/>
      <x:c r="C48" s="3"/>
      <x:c r="D48" s="3"/>
      <x:c r="E48" s="3"/>
      <x:c r="F48" s="3"/>
      <x:c r="G48" s="3"/>
      <x:c r="H48" s="3"/>
    </x:row>
  </x:sheetData>
  <x:dataValidations count="2">
    <x:dataValidation type="list" sqref="B14">
      <x:formula1>"KO만,KO·EN"</x:formula1>
    </x:dataValidation>
    <x:dataValidation type="list" sqref="B15">
      <x:formula1>"대기,완료"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C84432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3.130000114440918" hidden="0" customWidth="1"/>
    <x:col min="2" max="2" width="8.130000114440918" hidden="0" customWidth="1"/>
    <x:col min="3" max="3" width="9.380000114440918" hidden="0" customWidth="1"/>
    <x:col min="4" max="4" width="11.25" hidden="0" customWidth="1"/>
    <x:col min="5" max="5" width="11.25" hidden="0" customWidth="1"/>
    <x:col min="6" max="6" width="16.25" hidden="0" customWidth="1"/>
    <x:col min="7" max="7" width="38.75" hidden="0" customWidth="1"/>
    <x:col min="8" max="8" width="9.380000114440918" hidden="0" customWidth="1"/>
    <x:col min="9" max="9" width="18.1299991607666" hidden="0" customWidth="1"/>
    <x:col min="10" max="10" width="52.5" hidden="0" customWidth="1"/>
    <x:col min="11" max="11" width="56.25" hidden="0" customWidth="1"/>
    <x:col min="12" max="12" width="65" hidden="0" customWidth="1"/>
    <x:col min="13" max="13" width="53.75" hidden="0" customWidth="1"/>
    <x:col min="14" max="14" width="48.75" hidden="0" customWidth="1"/>
    <x:col min="15" max="15" width="47.5" hidden="0" customWidth="1"/>
    <x:col min="16" max="16" width="13.75" hidden="0" customWidth="1"/>
    <x:col min="17" max="17" width="18.1299991607666" hidden="0" customWidth="1"/>
    <x:col min="18" max="18" width="18.1299991607666" hidden="0" customWidth="1"/>
    <x:col min="19" max="19" width="28.75" hidden="0" customWidth="1"/>
    <x:col min="20" max="20" width="35" hidden="0" customWidth="1"/>
    <x:col min="21" max="21" width="14.380000114440918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</x:row>
    <x:row r="2" ht="27" customHeight="1">
      <x:c r="A2" s="5" t="str">
        <x:v>TripPrint 최종 QA 테스트 케이스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</x:row>
    <x:row r="4">
      <x:c r="A4" s="6" t="str">
        <x:v>노란 칸에 APK 실기기 결과를 기록합니다. 웹·코드 검증을 APK 통과로 복사하지 않습니다. EN은 지원 빌드에서 실행합니다.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</x:row>
    <x:row r="5" ht="34.5" customHeight="1">
      <x:c r="A5" s="10" t="str">
        <x:v>TC ID</x:v>
      </x:c>
      <x:c r="B5" s="10" t="str">
        <x:v>우선순위</x:v>
      </x:c>
      <x:c r="C5" s="10" t="str">
        <x:v>종류</x:v>
      </x:c>
      <x:c r="D5" s="10" t="str">
        <x:v>KO 결과</x:v>
      </x:c>
      <x:c r="E5" s="10" t="str">
        <x:v>EN 결과</x:v>
      </x:c>
      <x:c r="F5" s="10" t="str">
        <x:v>화면·기능</x:v>
      </x:c>
      <x:c r="G5" s="10" t="str">
        <x:v>시나리오</x:v>
      </x:c>
      <x:c r="H5" s="10" t="str">
        <x:v>언어</x:v>
      </x:c>
      <x:c r="I5" s="10" t="str">
        <x:v>실행 환경</x:v>
      </x:c>
      <x:c r="J5" s="10" t="str">
        <x:v>사전 조건·데이터</x:v>
      </x:c>
      <x:c r="K5" s="10" t="str">
        <x:v>실행 절차</x:v>
      </x:c>
      <x:c r="L5" s="10" t="str">
        <x:v>기대 결과</x:v>
      </x:c>
      <x:c r="M5" s="10" t="str">
        <x:v>현재 구현·주의점</x:v>
      </x:c>
      <x:c r="N5" s="10" t="str">
        <x:v>KO 실제 결과·차단 이유</x:v>
      </x:c>
      <x:c r="O5" s="10" t="str">
        <x:v>EN 실제 결과·차단 이유</x:v>
      </x:c>
      <x:c r="P5" s="10" t="str">
        <x:v>담당자</x:v>
      </x:c>
      <x:c r="Q5" s="10" t="str">
        <x:v>KO 일시 KST</x:v>
      </x:c>
      <x:c r="R5" s="10" t="str">
        <x:v>EN 일시 KST</x:v>
      </x:c>
      <x:c r="S5" s="10" t="str">
        <x:v>APK·기기·OS</x:v>
      </x:c>
      <x:c r="T5" s="10" t="str">
        <x:v>증거·결함 ID</x:v>
      </x:c>
      <x:c r="U5" s="10" t="str">
        <x:v>미해결 심각도</x:v>
      </x:c>
    </x:row>
    <x:row r="6" ht="97.5" customHeight="1">
      <x:c r="A6" s="3" t="str">
        <x:v>TC-001</x:v>
      </x:c>
      <x:c r="B6" s="3" t="str">
        <x:v>P0</x:v>
      </x:c>
      <x:c r="C6" s="3" t="str">
        <x:v>기능</x:v>
      </x:c>
      <x:c r="D6" s="11" t="str">
        <x:v>미실행</x:v>
      </x:c>
      <x:c r="E6" s="11" t="str">
        <x:v>차단</x:v>
      </x:c>
      <x:c r="F6" s="3" t="str">
        <x:v>설치</x:v>
      </x:c>
      <x:c r="G6" s="3" t="str">
        <x:v>내부 배포 APK 설치</x:v>
      </x:c>
      <x:c r="H6" s="3" t="str">
        <x:v>KO·EN</x:v>
      </x:c>
      <x:c r="I6" s="3" t="str">
        <x:v>Android APK</x:v>
      </x:c>
      <x:c r="J6" s="3" t="str">
        <x:v>Expo preview 빌드 완료 URL 및 호환 Android 기기
preview APK. URL·Build ID·versionCode 기록</x:v>
      </x:c>
      <x:c r="K6" s="3" t="str">
        <x:v>1. 완료 빌드에서 APK 다운로드
2. 브라우저 설치 권한 허용 후 설치
3. 홈 화면에서 실행</x:v>
      </x:c>
      <x:c r="L6" s="3" t="str">
        <x:v>TripPrint 이름·아이콘으로 설치되고 앱이 실행된다. Expo 개발 서버를 요구하지 않는다.</x:v>
      </x:c>
      <x:c r="M6" s="3" t="str"/>
      <x:c r="N6" s="11" t="str"/>
      <x:c r="O6" s="11" t="str">
        <x:v>영문 리소스·언어 선택 미구현. EN 지원 빌드 필요.</x:v>
      </x:c>
      <x:c r="P6" s="11" t="str"/>
      <x:c r="Q6" s="12"/>
      <x:c r="R6" s="12"/>
      <x:c r="S6" s="11" t="str"/>
      <x:c r="T6" s="11" t="str"/>
      <x:c r="U6" s="11" t="str"/>
    </x:row>
    <x:row r="7" ht="97.5" customHeight="1">
      <x:c r="A7" s="3" t="str">
        <x:v>TC-002</x:v>
      </x:c>
      <x:c r="B7" s="3" t="str">
        <x:v>P0</x:v>
      </x:c>
      <x:c r="C7" s="3" t="str">
        <x:v>기능</x:v>
      </x:c>
      <x:c r="D7" s="11" t="str">
        <x:v>미실행</x:v>
      </x:c>
      <x:c r="E7" s="11" t="str">
        <x:v>차단</x:v>
      </x:c>
      <x:c r="F7" s="3" t="str">
        <x:v>시작</x:v>
      </x:c>
      <x:c r="G7" s="3" t="str">
        <x:v>첫 실행의 브랜드와 여행 시작</x:v>
      </x:c>
      <x:c r="H7" s="3" t="str">
        <x:v>KO·EN</x:v>
      </x:c>
      <x:c r="I7" s="3" t="str">
        <x:v>Android APK</x:v>
      </x:c>
      <x:c r="J7" s="3" t="str">
        <x:v>TC-001. 앱 저장 데이터를 초기화한 테스트 기기</x:v>
      </x:c>
      <x:c r="K7" s="3" t="str">
        <x:v>1. 신규 설치 후 실행
2. 시작 화면과 첫 방문 홈 확인
3. 목적지 선택 후 새 여행 시작</x:v>
      </x:c>
      <x:c r="L7" s="3" t="str">
        <x:v>TripPrint 이름·아이콘·시작 이미지가 보인다. 로그인 전에도 목적지와 여행 시작 행동이 보인다. 저장 단계에서 로그인으로 이어지며 빈 화면·무한 로딩이 없다.</x:v>
      </x:c>
      <x:c r="M7" s="3" t="str"/>
      <x:c r="N7" s="11" t="str"/>
      <x:c r="O7" s="11" t="str">
        <x:v>영문 리소스·언어 선택 미구현. EN 지원 빌드 필요.</x:v>
      </x:c>
      <x:c r="P7" s="11" t="str"/>
      <x:c r="Q7" s="12"/>
      <x:c r="R7" s="12"/>
      <x:c r="S7" s="11" t="str"/>
      <x:c r="T7" s="11" t="str"/>
      <x:c r="U7" s="11" t="str"/>
    </x:row>
    <x:row r="8" ht="97.5" customHeight="1">
      <x:c r="A8" s="3" t="str">
        <x:v>TC-003</x:v>
      </x:c>
      <x:c r="B8" s="3" t="str">
        <x:v>P1</x:v>
      </x:c>
      <x:c r="C8" s="3" t="str">
        <x:v>기능</x:v>
      </x:c>
      <x:c r="D8" s="11" t="str">
        <x:v>미실행</x:v>
      </x:c>
      <x:c r="E8" s="11" t="str">
        <x:v>차단</x:v>
      </x:c>
      <x:c r="F8" s="3" t="str">
        <x:v>설치</x:v>
      </x:c>
      <x:c r="G8" s="3" t="str">
        <x:v>동일 서명 새 APK 업데이트</x:v>
      </x:c>
      <x:c r="H8" s="3" t="str">
        <x:v>KO·EN</x:v>
      </x:c>
      <x:c r="I8" s="3" t="str">
        <x:v>Android APK</x:v>
      </x:c>
      <x:c r="J8" s="3" t="str">
        <x:v>이전 테스트 APK 설치. 계정 A 로그인 및 저장 여행
기존/신규 Build ID 및 versionCode</x:v>
      </x:c>
      <x:c r="K8" s="3" t="str">
        <x:v>1. 동일 package·서명의 높은 versionCode APK 설치
2. 로그인과 기존 여행 재조회</x:v>
      </x:c>
      <x:c r="L8" s="3" t="str">
        <x:v>업데이트 설치가 가능하고 기존 서버 여행이 유지된다. 서명이 달라 설치 불가하면 빌드 조건으로 차단 기록한다.</x:v>
      </x:c>
      <x:c r="M8" s="3" t="str"/>
      <x:c r="N8" s="11" t="str"/>
      <x:c r="O8" s="11" t="str">
        <x:v>영문 리소스·언어 선택 미구현. EN 지원 빌드 필요.</x:v>
      </x:c>
      <x:c r="P8" s="11" t="str"/>
      <x:c r="Q8" s="12"/>
      <x:c r="R8" s="12"/>
      <x:c r="S8" s="11" t="str"/>
      <x:c r="T8" s="11" t="str"/>
      <x:c r="U8" s="11" t="str"/>
    </x:row>
    <x:row r="9" ht="97.5" customHeight="1">
      <x:c r="A9" s="3" t="str">
        <x:v>TC-004</x:v>
      </x:c>
      <x:c r="B9" s="3" t="str">
        <x:v>P1</x:v>
      </x:c>
      <x:c r="C9" s="3" t="str">
        <x:v>기능</x:v>
      </x:c>
      <x:c r="D9" s="11" t="str">
        <x:v>미실행</x:v>
      </x:c>
      <x:c r="E9" s="11" t="str">
        <x:v>차단</x:v>
      </x:c>
      <x:c r="F9" s="3" t="str">
        <x:v>시작</x:v>
      </x:c>
      <x:c r="G9" s="3" t="str">
        <x:v>백그라운드와 강제 종료 복귀</x:v>
      </x:c>
      <x:c r="H9" s="3" t="str">
        <x:v>KO·EN</x:v>
      </x:c>
      <x:c r="I9" s="3" t="str">
        <x:v>Android APK</x:v>
      </x:c>
      <x:c r="J9" s="3" t="str">
        <x:v>계정 A 로그인. 저장 여행 있음</x:v>
      </x:c>
      <x:c r="K9" s="3" t="str">
        <x:v>1. 홈 화면 이동 후 앱 복귀
2. 최근 앱에서 종료 후 다시 실행
3. 동일 여행 재조회</x:v>
      </x:c>
      <x:c r="L9" s="3" t="str">
        <x:v>로그인과 저장된 여행이 복원되며 같은 일정·사진이 중복 생성되지 않는다.</x:v>
      </x:c>
      <x:c r="M9" s="3" t="str"/>
      <x:c r="N9" s="11" t="str"/>
      <x:c r="O9" s="11" t="str">
        <x:v>영문 리소스·언어 선택 미구현. EN 지원 빌드 필요.</x:v>
      </x:c>
      <x:c r="P9" s="11" t="str"/>
      <x:c r="Q9" s="12"/>
      <x:c r="R9" s="12"/>
      <x:c r="S9" s="11" t="str"/>
      <x:c r="T9" s="11" t="str"/>
      <x:c r="U9" s="11" t="str"/>
    </x:row>
    <x:row r="10" ht="97.5" customHeight="1">
      <x:c r="A10" s="3" t="str">
        <x:v>TC-005</x:v>
      </x:c>
      <x:c r="B10" s="3" t="str">
        <x:v>P0</x:v>
      </x:c>
      <x:c r="C10" s="3" t="str">
        <x:v>기능</x:v>
      </x:c>
      <x:c r="D10" s="11" t="str">
        <x:v>미실행</x:v>
      </x:c>
      <x:c r="E10" s="11" t="str">
        <x:v>차단</x:v>
      </x:c>
      <x:c r="F10" s="3" t="str">
        <x:v>인증</x:v>
      </x:c>
      <x:c r="G10" s="3" t="str">
        <x:v>이메일 가입과 로그인</x:v>
      </x:c>
      <x:c r="H10" s="3" t="str">
        <x:v>KO·EN</x:v>
      </x:c>
      <x:c r="I10" s="3" t="str">
        <x:v>Android APK</x:v>
      </x:c>
      <x:c r="J10" s="3" t="str">
        <x:v>새 테스트 이메일 A. 네트워크 정상
A 이메일은 테스터 준비. 비밀번호는 문서에 쓰지 않음</x:v>
      </x:c>
      <x:c r="K10" s="3" t="str">
        <x:v>1. 이메일로 계속하기에서 회원가입
2. 닉네임·이메일·8자 이상 비밀번호·확인 입력
3. 가입 완료 후 필요한 로그인 절차 수행</x:v>
      </x:c>
      <x:c r="L10" s="3" t="str">
        <x:v>실제 이메일 계정으로 내 여행에 진입한다. 실패 응답을 성공으로 표시하지 않는다.</x:v>
      </x:c>
      <x:c r="M10" s="3" t="str"/>
      <x:c r="N10" s="11" t="str"/>
      <x:c r="O10" s="11" t="str">
        <x:v>영문 리소스·언어 선택 미구현. EN 지원 빌드 필요.</x:v>
      </x:c>
      <x:c r="P10" s="11" t="str"/>
      <x:c r="Q10" s="12"/>
      <x:c r="R10" s="12"/>
      <x:c r="S10" s="11" t="str"/>
      <x:c r="T10" s="11" t="str"/>
      <x:c r="U10" s="11" t="str"/>
    </x:row>
    <x:row r="11" ht="97.5" customHeight="1">
      <x:c r="A11" s="3" t="str">
        <x:v>TC-006</x:v>
      </x:c>
      <x:c r="B11" s="3" t="str">
        <x:v>P1</x:v>
      </x:c>
      <x:c r="C11" s="3" t="str">
        <x:v>기능</x:v>
      </x:c>
      <x:c r="D11" s="11" t="str">
        <x:v>미실행</x:v>
      </x:c>
      <x:c r="E11" s="11" t="str">
        <x:v>차단</x:v>
      </x:c>
      <x:c r="F11" s="3" t="str">
        <x:v>인증</x:v>
      </x:c>
      <x:c r="G11" s="3" t="str">
        <x:v>가입 입력 검증</x:v>
      </x:c>
      <x:c r="H11" s="3" t="str">
        <x:v>KO·EN</x:v>
      </x:c>
      <x:c r="I11" s="3" t="str">
        <x:v>Android APK</x:v>
      </x:c>
      <x:c r="J11" s="3" t="str">
        <x:v>가입 화면</x:v>
      </x:c>
      <x:c r="K11" s="3" t="str">
        <x:v>1. 잘못된 이메일과 빈 닉네임 입력
2. 7자 비밀번호와 다른 확인 비밀번호 입력
3. 제출 후 정상 값으로 수정</x:v>
      </x:c>
      <x:c r="L11" s="3" t="str">
        <x:v>오류를 안내하고 잘못된 입력으로 계정을 만들지 않는다. 정상 수정 후 다시 제출할 수 있다.</x:v>
      </x:c>
      <x:c r="M11" s="3" t="str"/>
      <x:c r="N11" s="11" t="str"/>
      <x:c r="O11" s="11" t="str">
        <x:v>영문 리소스·언어 선택 미구현. EN 지원 빌드 필요.</x:v>
      </x:c>
      <x:c r="P11" s="11" t="str"/>
      <x:c r="Q11" s="12"/>
      <x:c r="R11" s="12"/>
      <x:c r="S11" s="11" t="str"/>
      <x:c r="T11" s="11" t="str"/>
      <x:c r="U11" s="11" t="str"/>
    </x:row>
    <x:row r="12" ht="97.5" customHeight="1">
      <x:c r="A12" s="3" t="str">
        <x:v>TC-007</x:v>
      </x:c>
      <x:c r="B12" s="3" t="str">
        <x:v>P1</x:v>
      </x:c>
      <x:c r="C12" s="3" t="str">
        <x:v>기능</x:v>
      </x:c>
      <x:c r="D12" s="11" t="str">
        <x:v>미실행</x:v>
      </x:c>
      <x:c r="E12" s="11" t="str">
        <x:v>차단</x:v>
      </x:c>
      <x:c r="F12" s="3" t="str">
        <x:v>인증</x:v>
      </x:c>
      <x:c r="G12" s="3" t="str">
        <x:v>중복 이메일 가입</x:v>
      </x:c>
      <x:c r="H12" s="3" t="str">
        <x:v>KO·EN</x:v>
      </x:c>
      <x:c r="I12" s="3" t="str">
        <x:v>Android APK</x:v>
      </x:c>
      <x:c r="J12" s="3" t="str">
        <x:v>TC-005에서 가입한 A 이메일</x:v>
      </x:c>
      <x:c r="K12" s="3" t="str">
        <x:v>1. 같은 이메일로 다시 가입 시도
2. 기존 계정으로 로그인</x:v>
      </x:c>
      <x:c r="L12" s="3" t="str">
        <x:v>중복 계정 생성 없이 오류를 안내하며 기존 계정 로그인은 유지된다.</x:v>
      </x:c>
      <x:c r="M12" s="3" t="str"/>
      <x:c r="N12" s="11" t="str"/>
      <x:c r="O12" s="11" t="str">
        <x:v>영문 리소스·언어 선택 미구현. EN 지원 빌드 필요.</x:v>
      </x:c>
      <x:c r="P12" s="11" t="str"/>
      <x:c r="Q12" s="12"/>
      <x:c r="R12" s="12"/>
      <x:c r="S12" s="11" t="str"/>
      <x:c r="T12" s="11" t="str"/>
      <x:c r="U12" s="11" t="str"/>
    </x:row>
    <x:row r="13" ht="97.5" customHeight="1">
      <x:c r="A13" s="3" t="str">
        <x:v>TC-008</x:v>
      </x:c>
      <x:c r="B13" s="3" t="str">
        <x:v>P0</x:v>
      </x:c>
      <x:c r="C13" s="3" t="str">
        <x:v>기능</x:v>
      </x:c>
      <x:c r="D13" s="11" t="str">
        <x:v>미실행</x:v>
      </x:c>
      <x:c r="E13" s="11" t="str">
        <x:v>차단</x:v>
      </x:c>
      <x:c r="F13" s="3" t="str">
        <x:v>인증</x:v>
      </x:c>
      <x:c r="G13" s="3" t="str">
        <x:v>로그인 실패와 재시도</x:v>
      </x:c>
      <x:c r="H13" s="3" t="str">
        <x:v>KO·EN</x:v>
      </x:c>
      <x:c r="I13" s="3" t="str">
        <x:v>Android APK</x:v>
      </x:c>
      <x:c r="J13" s="3" t="str">
        <x:v>A 계정 생성 및 로그아웃</x:v>
      </x:c>
      <x:c r="K13" s="3" t="str">
        <x:v>1. 틀린 비밀번호로 로그인
2. 같은 이메일에 올바른 비밀번호 입력
3. 로그인 버튼 한 번 선택</x:v>
      </x:c>
      <x:c r="L13" s="3" t="str">
        <x:v>실패 시 내 여행으로 이동하지 않는다. 이메일 입력이 유지되며 올바른 비밀번호로만 로그인한다.</x:v>
      </x:c>
      <x:c r="M13" s="3" t="str"/>
      <x:c r="N13" s="11" t="str"/>
      <x:c r="O13" s="11" t="str">
        <x:v>영문 리소스·언어 선택 미구현. EN 지원 빌드 필요.</x:v>
      </x:c>
      <x:c r="P13" s="11" t="str"/>
      <x:c r="Q13" s="12"/>
      <x:c r="R13" s="12"/>
      <x:c r="S13" s="11" t="str"/>
      <x:c r="T13" s="11" t="str"/>
      <x:c r="U13" s="11" t="str"/>
    </x:row>
    <x:row r="14" ht="97.5" customHeight="1">
      <x:c r="A14" s="3" t="str">
        <x:v>TC-009</x:v>
      </x:c>
      <x:c r="B14" s="3" t="str">
        <x:v>P0</x:v>
      </x:c>
      <x:c r="C14" s="3" t="str">
        <x:v>기능</x:v>
      </x:c>
      <x:c r="D14" s="11" t="str">
        <x:v>미실행</x:v>
      </x:c>
      <x:c r="E14" s="11" t="str">
        <x:v>차단</x:v>
      </x:c>
      <x:c r="F14" s="3" t="str">
        <x:v>인증</x:v>
      </x:c>
      <x:c r="G14" s="3" t="str">
        <x:v>로그아웃 후 보호 화면</x:v>
      </x:c>
      <x:c r="H14" s="3" t="str">
        <x:v>KO·EN</x:v>
      </x:c>
      <x:c r="I14" s="3" t="str">
        <x:v>Android APK</x:v>
      </x:c>
      <x:c r="J14" s="3" t="str">
        <x:v>A 로그인. 비공개 여행 저장</x:v>
      </x:c>
      <x:c r="K14" s="3" t="str">
        <x:v>1. 내 정보에서 로그아웃
2. 내 여행·발자국 이동
3. 앱 종료 후 재실행</x:v>
      </x:c>
      <x:c r="L14" s="3" t="str">
        <x:v>이전 계정의 비공개 여행·사진이 보이지 않는다. 서버 기능은 재로그인을 요구한다.</x:v>
      </x:c>
      <x:c r="M14" s="3" t="str"/>
      <x:c r="N14" s="11" t="str"/>
      <x:c r="O14" s="11" t="str">
        <x:v>영문 리소스·언어 선택 미구현. EN 지원 빌드 필요.</x:v>
      </x:c>
      <x:c r="P14" s="11" t="str"/>
      <x:c r="Q14" s="12"/>
      <x:c r="R14" s="12"/>
      <x:c r="S14" s="11" t="str"/>
      <x:c r="T14" s="11" t="str"/>
      <x:c r="U14" s="11" t="str"/>
    </x:row>
    <x:row r="15" ht="97.5" customHeight="1">
      <x:c r="A15" s="3" t="str">
        <x:v>TC-010</x:v>
      </x:c>
      <x:c r="B15" s="3" t="str">
        <x:v>P0</x:v>
      </x:c>
      <x:c r="C15" s="3" t="str">
        <x:v>기능</x:v>
      </x:c>
      <x:c r="D15" s="11" t="str">
        <x:v>미실행</x:v>
      </x:c>
      <x:c r="E15" s="11" t="str">
        <x:v>차단</x:v>
      </x:c>
      <x:c r="F15" s="3" t="str">
        <x:v>인증</x:v>
      </x:c>
      <x:c r="G15" s="3" t="str">
        <x:v>A에서 B로 계정 전환</x:v>
      </x:c>
      <x:c r="H15" s="3" t="str">
        <x:v>KO·EN</x:v>
      </x:c>
      <x:c r="I15" s="3" t="str">
        <x:v>Android APK</x:v>
      </x:c>
      <x:c r="J15" s="3" t="str">
        <x:v>서로 다른 A·B 계정. A 여행에 B 미참여</x:v>
      </x:c>
      <x:c r="K15" s="3" t="str">
        <x:v>1. A로 여행 상세 열기
2. 로그아웃 후 B로 로그인
3. 내 여행과 사진·비용 확인</x:v>
      </x:c>
      <x:c r="L15" s="3" t="str">
        <x:v>A의 여행·작성 중 폼·사진·비용 캐시가 B에게 노출되지 않는다. B의 본인 목록만 표시한다.</x:v>
      </x:c>
      <x:c r="M15" s="3" t="str"/>
      <x:c r="N15" s="11" t="str"/>
      <x:c r="O15" s="11" t="str">
        <x:v>영문 리소스·언어 선택 미구현. EN 지원 빌드 필요.</x:v>
      </x:c>
      <x:c r="P15" s="11" t="str"/>
      <x:c r="Q15" s="12"/>
      <x:c r="R15" s="12"/>
      <x:c r="S15" s="11" t="str"/>
      <x:c r="T15" s="11" t="str"/>
      <x:c r="U15" s="11" t="str"/>
    </x:row>
    <x:row r="16" ht="97.5" customHeight="1">
      <x:c r="A16" s="3" t="str">
        <x:v>TC-011</x:v>
      </x:c>
      <x:c r="B16" s="3" t="str">
        <x:v>P1</x:v>
      </x:c>
      <x:c r="C16" s="3" t="str">
        <x:v>기능</x:v>
      </x:c>
      <x:c r="D16" s="11" t="str">
        <x:v>미실행</x:v>
      </x:c>
      <x:c r="E16" s="11" t="str">
        <x:v>차단</x:v>
      </x:c>
      <x:c r="F16" s="3" t="str">
        <x:v>인증</x:v>
      </x:c>
      <x:c r="G16" s="3" t="str">
        <x:v>게스트 둘러보기</x:v>
      </x:c>
      <x:c r="H16" s="3" t="str">
        <x:v>KO·EN</x:v>
      </x:c>
      <x:c r="I16" s="3" t="str">
        <x:v>Android APK</x:v>
      </x:c>
      <x:c r="J16" s="3" t="str">
        <x:v>로그아웃 상태</x:v>
      </x:c>
      <x:c r="K16" s="3" t="str">
        <x:v>1. 로그인 없이 둘러보기 선택
2. 공개 홈·커뮤니티 탐색
3. 새 여행 저장 또는 초대 참여 시도
4. 종료 후 재실행</x:v>
      </x:c>
      <x:c r="L16" s="3" t="str">
        <x:v>공개 화면을 볼 수 있다. 인증된 회원으로 표시하지 않는다. 여행 저장·초대에는 실제 로그인을 요구하고 회원의 비공개 기록을 노출하지 않는다.</x:v>
      </x:c>
      <x:c r="M16" s="3" t="str"/>
      <x:c r="N16" s="11" t="str"/>
      <x:c r="O16" s="11" t="str">
        <x:v>영문 리소스·언어 선택 미구현. EN 지원 빌드 필요.</x:v>
      </x:c>
      <x:c r="P16" s="11" t="str"/>
      <x:c r="Q16" s="12"/>
      <x:c r="R16" s="12"/>
      <x:c r="S16" s="11" t="str"/>
      <x:c r="T16" s="11" t="str"/>
      <x:c r="U16" s="11" t="str"/>
    </x:row>
    <x:row r="17" ht="97.5" customHeight="1">
      <x:c r="A17" s="3" t="str">
        <x:v>TC-012</x:v>
      </x:c>
      <x:c r="B17" s="3" t="str">
        <x:v>P0</x:v>
      </x:c>
      <x:c r="C17" s="3" t="str">
        <x:v>기능</x:v>
      </x:c>
      <x:c r="D17" s="11" t="str">
        <x:v>미실행</x:v>
      </x:c>
      <x:c r="E17" s="11" t="str">
        <x:v>차단</x:v>
      </x:c>
      <x:c r="F17" s="3" t="str">
        <x:v>인증</x:v>
      </x:c>
      <x:c r="G17" s="3" t="str">
        <x:v>실제 제공하는 로그인만 노출</x:v>
      </x:c>
      <x:c r="H17" s="3" t="str">
        <x:v>KO·EN</x:v>
      </x:c>
      <x:c r="I17" s="3" t="str">
        <x:v>Android APK</x:v>
      </x:c>
      <x:c r="J17" s="3" t="str">
        <x:v>로그아웃 상태. 이번 릴리즈는 이메일 가입·로그인을 제공한다.</x:v>
      </x:c>
      <x:c r="K17" s="3" t="str">
        <x:v>1. 로그인 화면의 모든 버튼·안내 확인
2. 이메일로 계속하기 선택
3. 잘못된 로그인 복귀 주소에서 오류 복구</x:v>
      </x:c>
      <x:c r="L17" s="3" t="str">
        <x:v>연결되지 않은 Google·카카오·Apple 로그인 버튼과 준비 문구가 없다. 이메일 폼이 열리고 실제 로그인 실패에서 복귀할 수 있다. 성공 세션을 흉내 내지 않는다.</x:v>
      </x:c>
      <x:c r="M17" s="3" t="str"/>
      <x:c r="N17" s="11" t="str"/>
      <x:c r="O17" s="11" t="str">
        <x:v>영문 리소스·언어 선택 미구현. EN 지원 빌드 필요.</x:v>
      </x:c>
      <x:c r="P17" s="11" t="str"/>
      <x:c r="Q17" s="12"/>
      <x:c r="R17" s="12"/>
      <x:c r="S17" s="11" t="str"/>
      <x:c r="T17" s="11" t="str"/>
      <x:c r="U17" s="11" t="str"/>
    </x:row>
    <x:row r="18" ht="97.5" customHeight="1">
      <x:c r="A18" s="3" t="str">
        <x:v>TC-013</x:v>
      </x:c>
      <x:c r="B18" s="3" t="str">
        <x:v>P0</x:v>
      </x:c>
      <x:c r="C18" s="3" t="str">
        <x:v>기능</x:v>
      </x:c>
      <x:c r="D18" s="11" t="str">
        <x:v>미실행</x:v>
      </x:c>
      <x:c r="E18" s="11" t="str">
        <x:v>차단</x:v>
      </x:c>
      <x:c r="F18" s="3" t="str">
        <x:v>여행</x:v>
      </x:c>
      <x:c r="G18" s="3" t="str">
        <x:v>제목·기간·항공 등록</x:v>
      </x:c>
      <x:c r="H18" s="3" t="str">
        <x:v>KO·EN</x:v>
      </x:c>
      <x:c r="I18" s="3" t="str">
        <x:v>Android APK</x:v>
      </x:c>
      <x:c r="J18" s="3" t="str">
        <x:v>A 로그인
TEST1_A_도쿄 / 2026-10-01~03 / Asia/Tokyo / KE703 ICN→NRT 10:00</x:v>
      </x:c>
      <x:c r="K18" s="3" t="str">
        <x:v>1. 새 여행 시작하기
2. 제목·일본/도쿄·3일 기간·항공편 입력
3. 저장 후 여행 열기</x:v>
      </x:c>
      <x:c r="L18" s="3" t="str">
        <x:v>제목·날짜·항공편을 저장하고 DAY 1~3이 하나씩 생성된다. 재실행 후 유지된다.</x:v>
      </x:c>
      <x:c r="M18" s="3" t="str"/>
      <x:c r="N18" s="11" t="str"/>
      <x:c r="O18" s="11" t="str">
        <x:v>영문 리소스·언어 선택 미구현. EN 지원 빌드 필요.</x:v>
      </x:c>
      <x:c r="P18" s="11" t="str"/>
      <x:c r="Q18" s="12"/>
      <x:c r="R18" s="12"/>
      <x:c r="S18" s="11" t="str"/>
      <x:c r="T18" s="11" t="str"/>
      <x:c r="U18" s="11" t="str"/>
    </x:row>
    <x:row r="19" ht="97.5" customHeight="1">
      <x:c r="A19" s="3" t="str">
        <x:v>TC-014</x:v>
      </x:c>
      <x:c r="B19" s="3" t="str">
        <x:v>P1</x:v>
      </x:c>
      <x:c r="C19" s="3" t="str">
        <x:v>기능</x:v>
      </x:c>
      <x:c r="D19" s="11" t="str">
        <x:v>미실행</x:v>
      </x:c>
      <x:c r="E19" s="11" t="str">
        <x:v>차단</x:v>
      </x:c>
      <x:c r="F19" s="3" t="str">
        <x:v>여행</x:v>
      </x:c>
      <x:c r="G19" s="3" t="str">
        <x:v>필수 항목과 날짜 경계</x:v>
      </x:c>
      <x:c r="H19" s="3" t="str">
        <x:v>KO·EN</x:v>
      </x:c>
      <x:c r="I19" s="3" t="str">
        <x:v>Android APK</x:v>
      </x:c>
      <x:c r="J19" s="3" t="str">
        <x:v>새 여행 입력 화면</x:v>
      </x:c>
      <x:c r="K19" s="3" t="str">
        <x:v>1. 빈 제목·나라/도시 누락으로 제출
2. 종료일을 시작일 이전으로 선택
3. 정상 기간으로 다시 저장</x:v>
      </x:c>
      <x:c r="L19" s="3" t="str">
        <x:v>필수 항목 누락·역전된 날짜를 거부한다. 달력에서 막으면 차단 동작을 기록한다. 서버에 잘못된 DAY가 생성되지 않는다.</x:v>
      </x:c>
      <x:c r="M19" s="3" t="str"/>
      <x:c r="N19" s="11" t="str"/>
      <x:c r="O19" s="11" t="str">
        <x:v>영문 리소스·언어 선택 미구현. EN 지원 빌드 필요.</x:v>
      </x:c>
      <x:c r="P19" s="11" t="str"/>
      <x:c r="Q19" s="12"/>
      <x:c r="R19" s="12"/>
      <x:c r="S19" s="11" t="str"/>
      <x:c r="T19" s="11" t="str"/>
      <x:c r="U19" s="11" t="str"/>
    </x:row>
    <x:row r="20" ht="97.5" customHeight="1">
      <x:c r="A20" s="3" t="str">
        <x:v>TC-015</x:v>
      </x:c>
      <x:c r="B20" s="3" t="str">
        <x:v>P1</x:v>
      </x:c>
      <x:c r="C20" s="3" t="str">
        <x:v>기능</x:v>
      </x:c>
      <x:c r="D20" s="11" t="str">
        <x:v>미실행</x:v>
      </x:c>
      <x:c r="E20" s="11" t="str">
        <x:v>차단</x:v>
      </x:c>
      <x:c r="F20" s="3" t="str">
        <x:v>여행</x:v>
      </x:c>
      <x:c r="G20" s="3" t="str">
        <x:v>날짜 확장과 기존 기록 보존</x:v>
      </x:c>
      <x:c r="H20" s="3" t="str">
        <x:v>KO·EN</x:v>
      </x:c>
      <x:c r="I20" s="3" t="str">
        <x:v>Android APK</x:v>
      </x:c>
      <x:c r="J20" s="3" t="str">
        <x:v>TC-013. DAY 2에 일정·비용</x:v>
      </x:c>
      <x:c r="K20" s="3" t="str">
        <x:v>1. 여행 기간 변경에서 종료일 하루 확장
2. 날짜별 기존 일정과 비용 재조회</x:v>
      </x:c>
      <x:c r="L20" s="3" t="str">
        <x:v>새 날짜의 DAY가 추가되고 유지되는 날짜의 일정·비용이 원래 날짜와 연결된 상태로 남는다.</x:v>
      </x:c>
      <x:c r="M20" s="3" t="str"/>
      <x:c r="N20" s="11" t="str"/>
      <x:c r="O20" s="11" t="str">
        <x:v>영문 리소스·언어 선택 미구현. EN 지원 빌드 필요.</x:v>
      </x:c>
      <x:c r="P20" s="11" t="str"/>
      <x:c r="Q20" s="12"/>
      <x:c r="R20" s="12"/>
      <x:c r="S20" s="11" t="str"/>
      <x:c r="T20" s="11" t="str"/>
      <x:c r="U20" s="11" t="str"/>
    </x:row>
    <x:row r="21" ht="97.5" customHeight="1">
      <x:c r="A21" s="3" t="str">
        <x:v>TC-016</x:v>
      </x:c>
      <x:c r="B21" s="3" t="str">
        <x:v>P0</x:v>
      </x:c>
      <x:c r="C21" s="3" t="str">
        <x:v>기능</x:v>
      </x:c>
      <x:c r="D21" s="11" t="str">
        <x:v>미실행</x:v>
      </x:c>
      <x:c r="E21" s="11" t="str">
        <x:v>차단</x:v>
      </x:c>
      <x:c r="F21" s="3" t="str">
        <x:v>여행</x:v>
      </x:c>
      <x:c r="G21" s="3" t="str">
        <x:v>기록 있는 날짜 삭제 방지</x:v>
      </x:c>
      <x:c r="H21" s="3" t="str">
        <x:v>KO·EN</x:v>
      </x:c>
      <x:c r="I21" s="3" t="str">
        <x:v>Android APK</x:v>
      </x:c>
      <x:c r="J21" s="3" t="str">
        <x:v>TC-013. 마지막 날 일정 또는 비용 있음</x:v>
      </x:c>
      <x:c r="K21" s="3" t="str">
        <x:v>1. 기간 변경에서 마지막 날 제외 시도
2. 결과와 기존 자료 재조회</x:v>
      </x:c>
      <x:c r="L21" s="3" t="str">
        <x:v>참조 기록이 있는 날짜 축소는 오류로 차단한다. 기존 일정·비용·사진을 몰래 삭제하거나 다른 날짜로 옮기지 않는다.</x:v>
      </x:c>
      <x:c r="M21" s="3" t="str"/>
      <x:c r="N21" s="11" t="str"/>
      <x:c r="O21" s="11" t="str">
        <x:v>영문 리소스·언어 선택 미구현. EN 지원 빌드 필요.</x:v>
      </x:c>
      <x:c r="P21" s="11" t="str"/>
      <x:c r="Q21" s="12"/>
      <x:c r="R21" s="12"/>
      <x:c r="S21" s="11" t="str"/>
      <x:c r="T21" s="11" t="str"/>
      <x:c r="U21" s="11" t="str"/>
    </x:row>
    <x:row r="22" ht="97.5" customHeight="1">
      <x:c r="A22" s="3" t="str">
        <x:v>TC-017</x:v>
      </x:c>
      <x:c r="B22" s="3" t="str">
        <x:v>P1</x:v>
      </x:c>
      <x:c r="C22" s="3" t="str">
        <x:v>기능</x:v>
      </x:c>
      <x:c r="D22" s="11" t="str">
        <x:v>미실행</x:v>
      </x:c>
      <x:c r="E22" s="11" t="str">
        <x:v>차단</x:v>
      </x:c>
      <x:c r="F22" s="3" t="str">
        <x:v>여행</x:v>
      </x:c>
      <x:c r="G22" s="3" t="str">
        <x:v>여행 생성 중 취소</x:v>
      </x:c>
      <x:c r="H22" s="3" t="str">
        <x:v>KO·EN</x:v>
      </x:c>
      <x:c r="I22" s="3" t="str">
        <x:v>Android APK</x:v>
      </x:c>
      <x:c r="J22" s="3" t="str">
        <x:v>내 여행 목록. 새 여행 작성</x:v>
      </x:c>
      <x:c r="K22" s="3" t="str">
        <x:v>1. 제목·국가·날짜 입력
2. 취소로 목록 복귀
3. 목록 새로고침</x:v>
      </x:c>
      <x:c r="L22" s="3" t="str">
        <x:v>미저장 여행이 서버 목록에 생기지 않는다. 다음 여행 폼을 정상적으로 열 수 있다.</x:v>
      </x:c>
      <x:c r="M22" s="3" t="str"/>
      <x:c r="N22" s="11" t="str"/>
      <x:c r="O22" s="11" t="str">
        <x:v>영문 리소스·언어 선택 미구현. EN 지원 빌드 필요.</x:v>
      </x:c>
      <x:c r="P22" s="11" t="str"/>
      <x:c r="Q22" s="12"/>
      <x:c r="R22" s="12"/>
      <x:c r="S22" s="11" t="str"/>
      <x:c r="T22" s="11" t="str"/>
      <x:c r="U22" s="11" t="str"/>
    </x:row>
    <x:row r="23" ht="97.5" customHeight="1">
      <x:c r="A23" s="3" t="str">
        <x:v>TC-018</x:v>
      </x:c>
      <x:c r="B23" s="3" t="str">
        <x:v>P0</x:v>
      </x:c>
      <x:c r="C23" s="3" t="str">
        <x:v>기능</x:v>
      </x:c>
      <x:c r="D23" s="11" t="str">
        <x:v>미실행</x:v>
      </x:c>
      <x:c r="E23" s="11" t="str">
        <x:v>차단</x:v>
      </x:c>
      <x:c r="F23" s="3" t="str">
        <x:v>일정</x:v>
      </x:c>
      <x:c r="G23" s="3" t="str">
        <x:v>숙소·맛집·관광·이동 기록</x:v>
      </x:c>
      <x:c r="H23" s="3" t="str">
        <x:v>KO·EN</x:v>
      </x:c>
      <x:c r="I23" s="3" t="str">
        <x:v>Android APK</x:v>
      </x:c>
      <x:c r="J23" s="3" t="str">
        <x:v>TC-013. A 소유자
도쿄 호텔 / 라멘집 / 센소지 / KE704 NRT→ICN</x:v>
      </x:c>
      <x:c r="K23" s="3" t="str">
        <x:v>1. DAY별 일정 추가
2. 숙소는 숙소, 맛집·관광은 장소, 귀국 항공은 이동 유형으로 입력
3. 시간·주소·메모 저장</x:v>
      </x:c>
      <x:c r="L23" s="3" t="str">
        <x:v>지정 날짜와 유형·시간·주소를 저장하고 날짜별 목록에 표시한다. 맛집·관광은 현재 장소 유형으로 기록된다.</x:v>
      </x:c>
      <x:c r="M23" s="3" t="str"/>
      <x:c r="N23" s="11" t="str"/>
      <x:c r="O23" s="11" t="str">
        <x:v>영문 리소스·언어 선택 미구현. EN 지원 빌드 필요.</x:v>
      </x:c>
      <x:c r="P23" s="11" t="str"/>
      <x:c r="Q23" s="12"/>
      <x:c r="R23" s="12"/>
      <x:c r="S23" s="11" t="str"/>
      <x:c r="T23" s="11" t="str"/>
      <x:c r="U23" s="11" t="str"/>
    </x:row>
    <x:row r="24" ht="97.5" customHeight="1">
      <x:c r="A24" s="3" t="str">
        <x:v>TC-019</x:v>
      </x:c>
      <x:c r="B24" s="3" t="str">
        <x:v>P1</x:v>
      </x:c>
      <x:c r="C24" s="3" t="str">
        <x:v>기능</x:v>
      </x:c>
      <x:c r="D24" s="11" t="str">
        <x:v>미실행</x:v>
      </x:c>
      <x:c r="E24" s="11" t="str">
        <x:v>차단</x:v>
      </x:c>
      <x:c r="F24" s="3" t="str">
        <x:v>일정</x:v>
      </x:c>
      <x:c r="G24" s="3" t="str">
        <x:v>일정 수정과 날짜 이동</x:v>
      </x:c>
      <x:c r="H24" s="3" t="str">
        <x:v>KO·EN</x:v>
      </x:c>
      <x:c r="I24" s="3" t="str">
        <x:v>Android APK</x:v>
      </x:c>
      <x:c r="J24" s="3" t="str">
        <x:v>TC-018. 영수증 미연결 일반 일정</x:v>
      </x:c>
      <x:c r="K24" s="3" t="str">
        <x:v>1. 일정 수정에서 제목·시간·주소 변경
2. 다른 DAY로 이동 후 저장
3. 이전·새 날짜와 재실행 확인</x:v>
      </x:c>
      <x:c r="L24" s="3" t="str">
        <x:v>한 일정만 수정된다. 이전 날짜에 중복이 없고 새 날짜에 수정 내용이 유지된다.</x:v>
      </x:c>
      <x:c r="M24" s="3" t="str"/>
      <x:c r="N24" s="11" t="str"/>
      <x:c r="O24" s="11" t="str">
        <x:v>영문 리소스·언어 선택 미구현. EN 지원 빌드 필요.</x:v>
      </x:c>
      <x:c r="P24" s="11" t="str"/>
      <x:c r="Q24" s="12"/>
      <x:c r="R24" s="12"/>
      <x:c r="S24" s="11" t="str"/>
      <x:c r="T24" s="11" t="str"/>
      <x:c r="U24" s="11" t="str"/>
    </x:row>
    <x:row r="25" ht="97.5" customHeight="1">
      <x:c r="A25" s="3" t="str">
        <x:v>TC-020</x:v>
      </x:c>
      <x:c r="B25" s="3" t="str">
        <x:v>P1</x:v>
      </x:c>
      <x:c r="C25" s="3" t="str">
        <x:v>기능</x:v>
      </x:c>
      <x:c r="D25" s="11" t="str">
        <x:v>미실행</x:v>
      </x:c>
      <x:c r="E25" s="11" t="str">
        <x:v>차단</x:v>
      </x:c>
      <x:c r="F25" s="3" t="str">
        <x:v>일정</x:v>
      </x:c>
      <x:c r="G25" s="3" t="str">
        <x:v>일정 삭제와 참조 보호</x:v>
      </x:c>
      <x:c r="H25" s="3" t="str">
        <x:v>KO·EN</x:v>
      </x:c>
      <x:c r="I25" s="3" t="str">
        <x:v>Android APK</x:v>
      </x:c>
      <x:c r="J25" s="3" t="str">
        <x:v>일반 일정과 영수증 연결 일정 각 1개</x:v>
      </x:c>
      <x:c r="K25" s="3" t="str">
        <x:v>1. 일반 일정 삭제
2. 영수증 연결 일정도 단독 삭제 시도
3. 목록·비용 확인</x:v>
      </x:c>
      <x:c r="L25" s="3" t="str">
        <x:v>일반 일정은 제거된다. 연결 기록의 제약을 위반하는 삭제는 오류로 차단하며 영수증·비용이 유실되지 않는다.</x:v>
      </x:c>
      <x:c r="M25" s="3" t="str"/>
      <x:c r="N25" s="11" t="str"/>
      <x:c r="O25" s="11" t="str">
        <x:v>영문 리소스·언어 선택 미구현. EN 지원 빌드 필요.</x:v>
      </x:c>
      <x:c r="P25" s="11" t="str"/>
      <x:c r="Q25" s="12"/>
      <x:c r="R25" s="12"/>
      <x:c r="S25" s="11" t="str"/>
      <x:c r="T25" s="11" t="str"/>
      <x:c r="U25" s="11" t="str"/>
    </x:row>
    <x:row r="26" ht="97.5" customHeight="1">
      <x:c r="A26" s="3" t="str">
        <x:v>TC-021</x:v>
      </x:c>
      <x:c r="B26" s="3" t="str">
        <x:v>P1</x:v>
      </x:c>
      <x:c r="C26" s="3" t="str">
        <x:v>기능</x:v>
      </x:c>
      <x:c r="D26" s="11" t="str">
        <x:v>미실행</x:v>
      </x:c>
      <x:c r="E26" s="11" t="str">
        <x:v>차단</x:v>
      </x:c>
      <x:c r="F26" s="3" t="str">
        <x:v>준비물</x:v>
      </x:c>
      <x:c r="G26" s="3" t="str">
        <x:v>체크리스트 저장·완료·복원</x:v>
      </x:c>
      <x:c r="H26" s="3" t="str">
        <x:v>KO·EN</x:v>
      </x:c>
      <x:c r="I26" s="3" t="str">
        <x:v>Android APK</x:v>
      </x:c>
      <x:c r="J26" s="3" t="str">
        <x:v>A 여행 상세
여권 확인</x:v>
      </x:c>
      <x:c r="K26" s="3" t="str">
        <x:v>1. 준비물 추가
2. 완료 체크 후 새로고침
3. 다시 해제 후 재조회</x:v>
      </x:c>
      <x:c r="L26" s="3" t="str">
        <x:v>항목과 완료 상태가 유지된다. 빠른 중복 선택으로 상태가 임의로 여러 번 반전되지 않는다.</x:v>
      </x:c>
      <x:c r="M26" s="3" t="str"/>
      <x:c r="N26" s="11" t="str"/>
      <x:c r="O26" s="11" t="str">
        <x:v>영문 리소스·언어 선택 미구현. EN 지원 빌드 필요.</x:v>
      </x:c>
      <x:c r="P26" s="11" t="str"/>
      <x:c r="Q26" s="12"/>
      <x:c r="R26" s="12"/>
      <x:c r="S26" s="11" t="str"/>
      <x:c r="T26" s="11" t="str"/>
      <x:c r="U26" s="11" t="str"/>
    </x:row>
    <x:row r="27" ht="97.5" customHeight="1">
      <x:c r="A27" s="3" t="str">
        <x:v>TC-022</x:v>
      </x:c>
      <x:c r="B27" s="3" t="str">
        <x:v>P0</x:v>
      </x:c>
      <x:c r="C27" s="3" t="str">
        <x:v>기능</x:v>
      </x:c>
      <x:c r="D27" s="11" t="str">
        <x:v>미실행</x:v>
      </x:c>
      <x:c r="E27" s="11" t="str">
        <x:v>차단</x:v>
      </x:c>
      <x:c r="F27" s="3" t="str">
        <x:v>비용</x:v>
      </x:c>
      <x:c r="G27" s="3" t="str">
        <x:v>통화별 실제 비용 합계</x:v>
      </x:c>
      <x:c r="H27" s="3" t="str">
        <x:v>KO·EN</x:v>
      </x:c>
      <x:c r="I27" s="3" t="str">
        <x:v>Android APK</x:v>
      </x:c>
      <x:c r="J27" s="3" t="str">
        <x:v>TC-013. 비용 등록 가능</x:v>
      </x:c>
      <x:c r="K27" s="3" t="str">
        <x:v>1. KRW 실제 12000·8000 추가
2. JPY 실제 1500 추가
3. KRW 예상 5000 추가
4. 실제·예상 집계 확인</x:v>
      </x:c>
      <x:c r="L27" s="3" t="str">
        <x:v>실제 합계 KRW 20000, JPY 1500이다. 예상 KRW 5000을 실제 합계에 더하지 않고 통화를 임의 환산·합산하지 않는다.</x:v>
      </x:c>
      <x:c r="M27" s="3" t="str"/>
      <x:c r="N27" s="11" t="str"/>
      <x:c r="O27" s="11" t="str">
        <x:v>영문 리소스·언어 선택 미구현. EN 지원 빌드 필요.</x:v>
      </x:c>
      <x:c r="P27" s="11" t="str"/>
      <x:c r="Q27" s="12"/>
      <x:c r="R27" s="12"/>
      <x:c r="S27" s="11" t="str"/>
      <x:c r="T27" s="11" t="str"/>
      <x:c r="U27" s="11" t="str"/>
    </x:row>
    <x:row r="28" ht="97.5" customHeight="1">
      <x:c r="A28" s="3" t="str">
        <x:v>TC-023</x:v>
      </x:c>
      <x:c r="B28" s="3" t="str">
        <x:v>P1</x:v>
      </x:c>
      <x:c r="C28" s="3" t="str">
        <x:v>기능</x:v>
      </x:c>
      <x:c r="D28" s="11" t="str">
        <x:v>미실행</x:v>
      </x:c>
      <x:c r="E28" s="11" t="str">
        <x:v>차단</x:v>
      </x:c>
      <x:c r="F28" s="3" t="str">
        <x:v>비용</x:v>
      </x:c>
      <x:c r="G28" s="3" t="str">
        <x:v>소수 금액과 입력 검증</x:v>
      </x:c>
      <x:c r="H28" s="3" t="str">
        <x:v>KO·EN</x:v>
      </x:c>
      <x:c r="I28" s="3" t="str">
        <x:v>Android APK</x:v>
      </x:c>
      <x:c r="J28" s="3" t="str">
        <x:v>비용 추가 화면</x:v>
      </x:c>
      <x:c r="K28" s="3" t="str">
        <x:v>1. USD 12.34 실제 비용 저장
2. KRW 또는 JPY 100.5 저장 시도
3. 문자·음수 입력 후 제출</x:v>
      </x:c>
      <x:c r="L28" s="3" t="str">
        <x:v>USD 12.34를 정확히 유지한다. KRW·JPY 소수 및 유효하지 않은 금액은 오류로 거부한다.</x:v>
      </x:c>
      <x:c r="M28" s="3" t="str"/>
      <x:c r="N28" s="11" t="str"/>
      <x:c r="O28" s="11" t="str">
        <x:v>영문 리소스·언어 선택 미구현. EN 지원 빌드 필요.</x:v>
      </x:c>
      <x:c r="P28" s="11" t="str"/>
      <x:c r="Q28" s="12"/>
      <x:c r="R28" s="12"/>
      <x:c r="S28" s="11" t="str"/>
      <x:c r="T28" s="11" t="str"/>
      <x:c r="U28" s="11" t="str"/>
    </x:row>
    <x:row r="29" ht="97.5" customHeight="1">
      <x:c r="A29" s="3" t="str">
        <x:v>TC-024</x:v>
      </x:c>
      <x:c r="B29" s="3" t="str">
        <x:v>P1</x:v>
      </x:c>
      <x:c r="C29" s="3" t="str">
        <x:v>기능</x:v>
      </x:c>
      <x:c r="D29" s="11" t="str">
        <x:v>미실행</x:v>
      </x:c>
      <x:c r="E29" s="11" t="str">
        <x:v>차단</x:v>
      </x:c>
      <x:c r="F29" s="3" t="str">
        <x:v>비용</x:v>
      </x:c>
      <x:c r="G29" s="3" t="str">
        <x:v>수정·삭제 후 집계</x:v>
      </x:c>
      <x:c r="H29" s="3" t="str">
        <x:v>KO·EN</x:v>
      </x:c>
      <x:c r="I29" s="3" t="str">
        <x:v>Android APK</x:v>
      </x:c>
      <x:c r="J29" s="3" t="str">
        <x:v>TC-022. 일반 수동 비용</x:v>
      </x:c>
      <x:c r="K29" s="3" t="str">
        <x:v>1. KRW 8000을 9000으로 수정
2. KRW 12000 삭제
3. 앱 재실행 후 합계 확인</x:v>
      </x:c>
      <x:c r="L29" s="3" t="str">
        <x:v>실제 KRW 합계가 9000으로 갱신된다. JPY 및 예상 비용에는 영향이 없다.</x:v>
      </x:c>
      <x:c r="M29" s="3" t="str"/>
      <x:c r="N29" s="11" t="str"/>
      <x:c r="O29" s="11" t="str">
        <x:v>영문 리소스·언어 선택 미구현. EN 지원 빌드 필요.</x:v>
      </x:c>
      <x:c r="P29" s="11" t="str"/>
      <x:c r="Q29" s="12"/>
      <x:c r="R29" s="12"/>
      <x:c r="S29" s="11" t="str"/>
      <x:c r="T29" s="11" t="str"/>
      <x:c r="U29" s="11" t="str"/>
    </x:row>
    <x:row r="30" ht="97.5" customHeight="1">
      <x:c r="A30" s="3" t="str">
        <x:v>TC-025</x:v>
      </x:c>
      <x:c r="B30" s="3" t="str">
        <x:v>P0</x:v>
      </x:c>
      <x:c r="C30" s="3" t="str">
        <x:v>기능</x:v>
      </x:c>
      <x:c r="D30" s="11" t="str">
        <x:v>미실행</x:v>
      </x:c>
      <x:c r="E30" s="11" t="str">
        <x:v>차단</x:v>
      </x:c>
      <x:c r="F30" s="3" t="str">
        <x:v>사진</x:v>
      </x:c>
      <x:c r="G30" s="3" t="str">
        <x:v>사진 업로드와 재실행 후 조회</x:v>
      </x:c>
      <x:c r="H30" s="3" t="str">
        <x:v>KO·EN</x:v>
      </x:c>
      <x:c r="I30" s="3" t="str">
        <x:v>Android APK</x:v>
      </x:c>
      <x:c r="J30" s="3" t="str">
        <x:v>A 여행 일정. JPEG/PNG 준비
TD-03 정상 JPEG/PNG. 작은 사진부터 실행.</x:v>
      </x:c>
      <x:c r="K30" s="3" t="str">
        <x:v>1. 이 일정에 사진 추가로 사진 선택
2. 저장 확인 후 앱 종료
3. 여행·다이어리에서 재조회</x:v>
      </x:c>
      <x:c r="L30" s="3" t="str">
        <x:v>선택한 일정에 사진 한 장을 저장한다. 재실행 후 여행과 다이어리에서 같은 사진을 볼 수 있다. 다른 여행에 사진이 연결되지 않는다.</x:v>
      </x:c>
      <x:c r="M30" s="3" t="str"/>
      <x:c r="N30" s="11" t="str"/>
      <x:c r="O30" s="11" t="str">
        <x:v>영문 리소스·언어 선택 미구현. EN 지원 빌드 필요.</x:v>
      </x:c>
      <x:c r="P30" s="11" t="str"/>
      <x:c r="Q30" s="12"/>
      <x:c r="R30" s="12"/>
      <x:c r="S30" s="11" t="str"/>
      <x:c r="T30" s="11" t="str"/>
      <x:c r="U30" s="11" t="str"/>
    </x:row>
    <x:row r="31" ht="97.5" customHeight="1">
      <x:c r="A31" s="3" t="str">
        <x:v>TC-026</x:v>
      </x:c>
      <x:c r="B31" s="3" t="str">
        <x:v>P0</x:v>
      </x:c>
      <x:c r="C31" s="3" t="str">
        <x:v>기능</x:v>
      </x:c>
      <x:c r="D31" s="11" t="str">
        <x:v>미실행</x:v>
      </x:c>
      <x:c r="E31" s="11" t="str">
        <x:v>차단</x:v>
      </x:c>
      <x:c r="F31" s="3" t="str">
        <x:v>카메라</x:v>
      </x:c>
      <x:c r="G31" s="3" t="str">
        <x:v>촬영 권한 허용과 저장</x:v>
      </x:c>
      <x:c r="H31" s="3" t="str">
        <x:v>KO·EN</x:v>
      </x:c>
      <x:c r="I31" s="3" t="str">
        <x:v>Android APK</x:v>
      </x:c>
      <x:c r="J31" s="3" t="str">
        <x:v>카메라 권한 미결정. A 일정</x:v>
      </x:c>
      <x:c r="K31" s="3" t="str">
        <x:v>1. 이 일정에서 사진 촬영
2. 권한 허용 후 촬영·사용
3. 해당 일정 사진 재조회</x:v>
      </x:c>
      <x:c r="L31" s="3" t="str">
        <x:v>카메라가 열리고 사용한 사진이 해당 일정에만 저장된다. 앱 복귀 후 충돌이 없다.</x:v>
      </x:c>
      <x:c r="M31" s="3" t="str"/>
      <x:c r="N31" s="11" t="str"/>
      <x:c r="O31" s="11" t="str">
        <x:v>영문 리소스·언어 선택 미구현. EN 지원 빌드 필요.</x:v>
      </x:c>
      <x:c r="P31" s="11" t="str"/>
      <x:c r="Q31" s="12"/>
      <x:c r="R31" s="12"/>
      <x:c r="S31" s="11" t="str"/>
      <x:c r="T31" s="11" t="str"/>
      <x:c r="U31" s="11" t="str"/>
    </x:row>
    <x:row r="32" ht="97.5" customHeight="1">
      <x:c r="A32" s="3" t="str">
        <x:v>TC-027</x:v>
      </x:c>
      <x:c r="B32" s="3" t="str">
        <x:v>P0</x:v>
      </x:c>
      <x:c r="C32" s="3" t="str">
        <x:v>기능</x:v>
      </x:c>
      <x:c r="D32" s="11" t="str">
        <x:v>미실행</x:v>
      </x:c>
      <x:c r="E32" s="11" t="str">
        <x:v>차단</x:v>
      </x:c>
      <x:c r="F32" s="3" t="str">
        <x:v>카메라</x:v>
      </x:c>
      <x:c r="G32" s="3" t="str">
        <x:v>권한 거부 후 복구</x:v>
      </x:c>
      <x:c r="H32" s="3" t="str">
        <x:v>KO·EN</x:v>
      </x:c>
      <x:c r="I32" s="3" t="str">
        <x:v>Android APK</x:v>
      </x:c>
      <x:c r="J32" s="3" t="str">
        <x:v>별도 테스트 기기 또는 권한 초기화</x:v>
      </x:c>
      <x:c r="K32" s="3" t="str">
        <x:v>1. 카메라 요청 거부
2. 화면 복귀와 사진 선택 확인
3. Android 설정에서 허용 후 다시 촬영</x:v>
      </x:c>
      <x:c r="L32" s="3" t="str">
        <x:v>거부 시 오류 안내 후 화면이 유지된다. 미촬영 사진은 생성하지 않는다. 권한 허용 뒤 다시 촬영 가능하다.</x:v>
      </x:c>
      <x:c r="M32" s="3" t="str"/>
      <x:c r="N32" s="11" t="str"/>
      <x:c r="O32" s="11" t="str">
        <x:v>영문 리소스·언어 선택 미구현. EN 지원 빌드 필요.</x:v>
      </x:c>
      <x:c r="P32" s="11" t="str"/>
      <x:c r="Q32" s="12"/>
      <x:c r="R32" s="12"/>
      <x:c r="S32" s="11" t="str"/>
      <x:c r="T32" s="11" t="str"/>
      <x:c r="U32" s="11" t="str"/>
    </x:row>
    <x:row r="33" ht="97.5" customHeight="1">
      <x:c r="A33" s="3" t="str">
        <x:v>TC-028</x:v>
      </x:c>
      <x:c r="B33" s="3" t="str">
        <x:v>P1</x:v>
      </x:c>
      <x:c r="C33" s="3" t="str">
        <x:v>기능</x:v>
      </x:c>
      <x:c r="D33" s="11" t="str">
        <x:v>미실행</x:v>
      </x:c>
      <x:c r="E33" s="11" t="str">
        <x:v>차단</x:v>
      </x:c>
      <x:c r="F33" s="3" t="str">
        <x:v>사진</x:v>
      </x:c>
      <x:c r="G33" s="3" t="str">
        <x:v>촬영·선택 취소</x:v>
      </x:c>
      <x:c r="H33" s="3" t="str">
        <x:v>KO·EN</x:v>
      </x:c>
      <x:c r="I33" s="3" t="str">
        <x:v>Android APK</x:v>
      </x:c>
      <x:c r="J33" s="3" t="str">
        <x:v>A 일정. 카메라/앨범 진입 가능</x:v>
      </x:c>
      <x:c r="K33" s="3" t="str">
        <x:v>1. 카메라에서 취소
2. 사진 선택 창에서도 취소
3. 사진·영수증 목록 확인</x:v>
      </x:c>
      <x:c r="L33" s="3" t="str">
        <x:v>목록과 비용에 변화가 없다. 로딩이 해제되고 다른 작업이 가능하다.</x:v>
      </x:c>
      <x:c r="M33" s="3" t="str"/>
      <x:c r="N33" s="11" t="str"/>
      <x:c r="O33" s="11" t="str">
        <x:v>영문 리소스·언어 선택 미구현. EN 지원 빌드 필요.</x:v>
      </x:c>
      <x:c r="P33" s="11" t="str"/>
      <x:c r="Q33" s="12"/>
      <x:c r="R33" s="12"/>
      <x:c r="S33" s="11" t="str"/>
      <x:c r="T33" s="11" t="str"/>
      <x:c r="U33" s="11" t="str"/>
    </x:row>
    <x:row r="34" ht="97.5" customHeight="1">
      <x:c r="A34" s="3" t="str">
        <x:v>TC-029</x:v>
      </x:c>
      <x:c r="B34" s="3" t="str">
        <x:v>P1</x:v>
      </x:c>
      <x:c r="C34" s="3" t="str">
        <x:v>기능</x:v>
      </x:c>
      <x:c r="D34" s="11" t="str">
        <x:v>미실행</x:v>
      </x:c>
      <x:c r="E34" s="11" t="str">
        <x:v>차단</x:v>
      </x:c>
      <x:c r="F34" s="3" t="str">
        <x:v>사진</x:v>
      </x:c>
      <x:c r="G34" s="3" t="str">
        <x:v>전송 한도와 잘못된 이미지 거부</x:v>
      </x:c>
      <x:c r="H34" s="3" t="str">
        <x:v>KO·EN</x:v>
      </x:c>
      <x:c r="I34" s="3" t="str">
        <x:v>Android APK</x:v>
      </x:c>
      <x:c r="J34" s="3" t="str">
        <x:v>QA용 실제 전송 파일 및 업로드 요청을 준비한다. 앱의 자동 압축은 TC-063에서 검사.
4,194,305바이트 이상의 실제 전송. 원본 8MB와 압축된 전송 크기는 별도 기록.</x:v>
      </x:c>
      <x:c r="K34" s="3" t="str">
        <x:v>1. 압축을 거치지 않은 4MiB 초과 전송 요청
2. PNG로 위장한 텍스트 파일 전송
3. 정상 이미지로 재시도</x:v>
      </x:c>
      <x:c r="L34" s="3" t="str">
        <x:v>서버 한도를 초과한 실제 전송과 잘못된 이미지 시그니처를 거부한다. 실패를 성공으로 안내하지 않고 정상 사진으로 다시 이용할 수 있다.</x:v>
      </x:c>
      <x:c r="M34" s="3" t="str"/>
      <x:c r="N34" s="11" t="str"/>
      <x:c r="O34" s="11" t="str">
        <x:v>영문 리소스·언어 선택 미구현. EN 지원 빌드 필요.</x:v>
      </x:c>
      <x:c r="P34" s="11" t="str"/>
      <x:c r="Q34" s="12"/>
      <x:c r="R34" s="12"/>
      <x:c r="S34" s="11" t="str"/>
      <x:c r="T34" s="11" t="str"/>
      <x:c r="U34" s="11" t="str"/>
    </x:row>
    <x:row r="35" ht="97.5" customHeight="1">
      <x:c r="A35" s="3" t="str">
        <x:v>TC-030</x:v>
      </x:c>
      <x:c r="B35" s="3" t="str">
        <x:v>P0</x:v>
      </x:c>
      <x:c r="C35" s="3" t="str">
        <x:v>기능</x:v>
      </x:c>
      <x:c r="D35" s="11" t="str">
        <x:v>미실행</x:v>
      </x:c>
      <x:c r="E35" s="11" t="str">
        <x:v>차단</x:v>
      </x:c>
      <x:c r="F35" s="3" t="str">
        <x:v>사진</x:v>
      </x:c>
      <x:c r="G35" s="3" t="str">
        <x:v>비멤버 사진 접근 차단</x:v>
      </x:c>
      <x:c r="H35" s="3" t="str">
        <x:v>KO·EN</x:v>
      </x:c>
      <x:c r="I35" s="3" t="str">
        <x:v>Android APK</x:v>
      </x:c>
      <x:c r="J35" s="3" t="str">
        <x:v>A 비공개 여행 사진. C는 미참여
서명 URL·토큰은 증거에 마스킹</x:v>
      </x:c>
      <x:c r="K35" s="3" t="str">
        <x:v>1. A에게만 허용된 사진 접근을 확인
2. C 또는 로그아웃 브라우저에서 같은 원본 접근
3. 공개 게시하지 않은 사진 확인</x:v>
      </x:c>
      <x:c r="L35" s="3" t="str">
        <x:v>현재 여행 멤버가 아닌 C에게 원본이 노출되지 않는다. 버킷 공개 URL도 제공되지 않는다.</x:v>
      </x:c>
      <x:c r="M35" s="3" t="str"/>
      <x:c r="N35" s="11" t="str"/>
      <x:c r="O35" s="11" t="str">
        <x:v>영문 리소스·언어 선택 미구현. EN 지원 빌드 필요.</x:v>
      </x:c>
      <x:c r="P35" s="11" t="str"/>
      <x:c r="Q35" s="12"/>
      <x:c r="R35" s="12"/>
      <x:c r="S35" s="11" t="str"/>
      <x:c r="T35" s="11" t="str"/>
      <x:c r="U35" s="11" t="str"/>
    </x:row>
    <x:row r="36" ht="97.5" customHeight="1">
      <x:c r="A36" s="3" t="str">
        <x:v>TC-031</x:v>
      </x:c>
      <x:c r="B36" s="3" t="str">
        <x:v>P1</x:v>
      </x:c>
      <x:c r="C36" s="3" t="str">
        <x:v>기능</x:v>
      </x:c>
      <x:c r="D36" s="11" t="str">
        <x:v>미실행</x:v>
      </x:c>
      <x:c r="E36" s="11" t="str">
        <x:v>차단</x:v>
      </x:c>
      <x:c r="F36" s="3" t="str">
        <x:v>사진</x:v>
      </x:c>
      <x:c r="G36" s="3" t="str">
        <x:v>사진 삭제 후 원본 차단</x:v>
      </x:c>
      <x:c r="H36" s="3" t="str">
        <x:v>KO·EN</x:v>
      </x:c>
      <x:c r="I36" s="3" t="str">
        <x:v>Android APK</x:v>
      </x:c>
      <x:c r="J36" s="3" t="str">
        <x:v>게시·영수증 미참조 일반 사진
URL 만료 효과와 구분해 삭제 직후 검사</x:v>
      </x:c>
      <x:c r="K36" s="3" t="str">
        <x:v>1. 사진 등록 삭제
2. 여행 새로고침
3. 이전 원본 요청 재확인</x:v>
      </x:c>
      <x:c r="L36" s="3" t="str">
        <x:v>사진 목록에서 제거되고 이전 원본 접근이 차단된다. 다른 사진에는 영향이 없다.</x:v>
      </x:c>
      <x:c r="M36" s="3" t="str"/>
      <x:c r="N36" s="11" t="str"/>
      <x:c r="O36" s="11" t="str">
        <x:v>영문 리소스·언어 선택 미구현. EN 지원 빌드 필요.</x:v>
      </x:c>
      <x:c r="P36" s="11" t="str"/>
      <x:c r="Q36" s="12"/>
      <x:c r="R36" s="12"/>
      <x:c r="S36" s="11" t="str"/>
      <x:c r="T36" s="11" t="str"/>
      <x:c r="U36" s="11" t="str"/>
    </x:row>
    <x:row r="37" ht="97.5" customHeight="1">
      <x:c r="A37" s="3" t="str">
        <x:v>TC-032</x:v>
      </x:c>
      <x:c r="B37" s="3" t="str">
        <x:v>P0</x:v>
      </x:c>
      <x:c r="C37" s="3" t="str">
        <x:v>기능</x:v>
      </x:c>
      <x:c r="D37" s="11" t="str">
        <x:v>미실행</x:v>
      </x:c>
      <x:c r="E37" s="11" t="str">
        <x:v>차단</x:v>
      </x:c>
      <x:c r="F37" s="3" t="str">
        <x:v>영수증</x:v>
      </x:c>
      <x:c r="G37" s="3" t="str">
        <x:v>영수증 사진에서 내용 자동 추출</x:v>
      </x:c>
      <x:c r="H37" s="3" t="str">
        <x:v>KO·EN</x:v>
      </x:c>
      <x:c r="I37" s="3" t="str">
        <x:v>Android APK</x:v>
      </x:c>
      <x:c r="J37" s="3" t="str">
        <x:v>A 로그인. TD-02 여행(2026-09-26~28)과 제공된 Kagerou Cafe 영수증 사진. 스캔 서비스 정상.
TD-02. 메뉴별 OCR 오독은 원본과 비교해 실제 결과에 기록.</x:v>
      </x:c>
      <x:c r="K37" s="3" t="str">
        <x:v>1. 영수증 촬영 또는 사진 선택
2. 스캔 중 하루 안내 확인
3. 상호·주소·결제 일시·메뉴·통화·합계 후보 확인
4. 저장 전 일정·지출 목록 확인</x:v>
      </x:c>
      <x:c r="L37" s="3" t="str">
        <x:v>전체 내용을 직접 입력하도록 요구하지 않고 사진에서 읽은 후보를 먼저 보여준다. 결제는 2026-09-28 16:36, JPY 2450이며 입점 13:50·세금 222·거스름돈 0과 구별한다. 불확실하거나 잘못 읽은 항목은 확인·수정할 수 있다. 등록 전 일정·지출을 만들지 않는다.</x:v>
      </x:c>
      <x:c r="M37" s="3" t="str"/>
      <x:c r="N37" s="11" t="str"/>
      <x:c r="O37" s="11" t="str">
        <x:v>영문 리소스·언어 선택 미구현. EN 지원 빌드 필요.</x:v>
      </x:c>
      <x:c r="P37" s="11" t="str"/>
      <x:c r="Q37" s="12"/>
      <x:c r="R37" s="12"/>
      <x:c r="S37" s="11" t="str"/>
      <x:c r="T37" s="11" t="str"/>
      <x:c r="U37" s="11" t="str"/>
    </x:row>
    <x:row r="38" ht="105" customHeight="1">
      <x:c r="A38" s="3" t="str">
        <x:v>TC-033</x:v>
      </x:c>
      <x:c r="B38" s="3" t="str">
        <x:v>P0</x:v>
      </x:c>
      <x:c r="C38" s="3" t="str">
        <x:v>기능</x:v>
      </x:c>
      <x:c r="D38" s="11" t="str">
        <x:v>미실행</x:v>
      </x:c>
      <x:c r="E38" s="11" t="str">
        <x:v>차단</x:v>
      </x:c>
      <x:c r="F38" s="3" t="str">
        <x:v>영수증</x:v>
      </x:c>
      <x:c r="G38" s="3" t="str">
        <x:v>인식 내용 확인 후 날짜별 여행 기록 등록</x:v>
      </x:c>
      <x:c r="H38" s="3" t="str">
        <x:v>KO·EN</x:v>
      </x:c>
      <x:c r="I38" s="3" t="str">
        <x:v>Android APK</x:v>
      </x:c>
      <x:c r="J38" s="3" t="str">
        <x:v>TC-032의 인식 후보. TD-02 3일 여행. 미등록 원본.
TD-02. はっさくソーダ를 はつさくソーダ로 읽으면 해당 메뉴만 수정.</x:v>
      </x:c>
      <x:c r="K38" s="3" t="str">
        <x:v>1. 자동 인식한 상호·결제일시·메뉴·합계 대조
2. 오독 항목만 수정
3. 정보 확인을 선택
4. 사진 보관 또는 정보만 저장 선택
5. 일정에 추가하기
6. DAY3·비용·사진 연결 재조회</x:v>
      </x:c>
      <x:c r="L38" s="3" t="str">
        <x:v>2026-09-28 DAY3에 Kagerou Cafe와 실제 지출 JPY 2450이 한 번 저장된다. 주소·결제 16:36·3개 메뉴·수량·금액을 유지한다. 사진은 사용자가 보관을 선택한 경우에만 재조회된다. 정보 확인 버튼과 실제 저장 버튼이 분리된 현재 UX는 TC-080에서 별도 평가한다.</x:v>
      </x:c>
      <x:c r="M38" s="3" t="str"/>
      <x:c r="N38" s="11" t="str"/>
      <x:c r="O38" s="11" t="str">
        <x:v>영문 리소스·언어 선택 미구현. EN 지원 빌드 필요.</x:v>
      </x:c>
      <x:c r="P38" s="11" t="str"/>
      <x:c r="Q38" s="12"/>
      <x:c r="R38" s="12"/>
      <x:c r="S38" s="11" t="str"/>
      <x:c r="T38" s="11" t="str"/>
      <x:c r="U38" s="11" t="str"/>
    </x:row>
    <x:row r="39" ht="97.5" customHeight="1">
      <x:c r="A39" s="3" t="str">
        <x:v>TC-034</x:v>
      </x:c>
      <x:c r="B39" s="3" t="str">
        <x:v>P1</x:v>
      </x:c>
      <x:c r="C39" s="3" t="str">
        <x:v>기능</x:v>
      </x:c>
      <x:c r="D39" s="11" t="str">
        <x:v>미실행</x:v>
      </x:c>
      <x:c r="E39" s="11" t="str">
        <x:v>차단</x:v>
      </x:c>
      <x:c r="F39" s="3" t="str">
        <x:v>영수증</x:v>
      </x:c>
      <x:c r="G39" s="3" t="str">
        <x:v>재시도·중복 입력 방지</x:v>
      </x:c>
      <x:c r="H39" s="3" t="str">
        <x:v>KO·EN</x:v>
      </x:c>
      <x:c r="I39" s="3" t="str">
        <x:v>Android APK</x:v>
      </x:c>
      <x:c r="J39" s="3" t="str">
        <x:v>TC-033 확인 완료 영수증</x:v>
      </x:c>
      <x:c r="K39" s="3" t="str">
        <x:v>1. 같은 원본으로 확인 저장 재시도
2. 빠르게 저장 버튼 중복 선택
3. 일정·비용 개수 재조회</x:v>
      </x:c>
      <x:c r="L39" s="3" t="str">
        <x:v>중복 기록·중복 지출을 생성하지 않는다. 이미 등록됨 또는 안전한 재시도 안내를 표시한다.</x:v>
      </x:c>
      <x:c r="M39" s="3" t="str"/>
      <x:c r="N39" s="11" t="str"/>
      <x:c r="O39" s="11" t="str">
        <x:v>영문 리소스·언어 선택 미구현. EN 지원 빌드 필요.</x:v>
      </x:c>
      <x:c r="P39" s="11" t="str"/>
      <x:c r="Q39" s="12"/>
      <x:c r="R39" s="12"/>
      <x:c r="S39" s="11" t="str"/>
      <x:c r="T39" s="11" t="str"/>
      <x:c r="U39" s="11" t="str"/>
    </x:row>
    <x:row r="40" ht="97.5" customHeight="1">
      <x:c r="A40" s="3" t="str">
        <x:v>TC-035</x:v>
      </x:c>
      <x:c r="B40" s="3" t="str">
        <x:v>P1</x:v>
      </x:c>
      <x:c r="C40" s="3" t="str">
        <x:v>기능</x:v>
      </x:c>
      <x:c r="D40" s="11" t="str">
        <x:v>미실행</x:v>
      </x:c>
      <x:c r="E40" s="11" t="str">
        <x:v>차단</x:v>
      </x:c>
      <x:c r="F40" s="3" t="str">
        <x:v>영수증</x:v>
      </x:c>
      <x:c r="G40" s="3" t="str">
        <x:v>기록·지출 삭제 관계</x:v>
      </x:c>
      <x:c r="H40" s="3" t="str">
        <x:v>KO·EN</x:v>
      </x:c>
      <x:c r="I40" s="3" t="str">
        <x:v>Android APK</x:v>
      </x:c>
      <x:c r="J40" s="3" t="str">
        <x:v>TC-033 생성 영수증 기록</x:v>
      </x:c>
      <x:c r="K40" s="3" t="str">
        <x:v>1. 영수증 비용 단독 삭제 시도
2. 영수증 기록·지출 삭제 기능 사용
3. 일정·비용·사진 목록 확인</x:v>
      </x:c>
      <x:c r="L40" s="3" t="str">
        <x:v>참조 제약을 안내한다. 영수증용 삭제 명령이 성공하면 연결 기록·지출을 함께 정리하며 다른 수동 비용은 유지한다.</x:v>
      </x:c>
      <x:c r="M40" s="3" t="str"/>
      <x:c r="N40" s="11" t="str"/>
      <x:c r="O40" s="11" t="str">
        <x:v>영문 리소스·언어 선택 미구현. EN 지원 빌드 필요.</x:v>
      </x:c>
      <x:c r="P40" s="11" t="str"/>
      <x:c r="Q40" s="12"/>
      <x:c r="R40" s="12"/>
      <x:c r="S40" s="11" t="str"/>
      <x:c r="T40" s="11" t="str"/>
      <x:c r="U40" s="11" t="str"/>
    </x:row>
    <x:row r="41" ht="97.5" customHeight="1">
      <x:c r="A41" s="3" t="str">
        <x:v>TC-036</x:v>
      </x:c>
      <x:c r="B41" s="3" t="str">
        <x:v>P0</x:v>
      </x:c>
      <x:c r="C41" s="3" t="str">
        <x:v>기능</x:v>
      </x:c>
      <x:c r="D41" s="11" t="str">
        <x:v>미실행</x:v>
      </x:c>
      <x:c r="E41" s="11" t="str">
        <x:v>차단</x:v>
      </x:c>
      <x:c r="F41" s="3" t="str">
        <x:v>동행</x:v>
      </x:c>
      <x:c r="G41" s="3" t="str">
        <x:v>보기 초대와 읽기 권한</x:v>
      </x:c>
      <x:c r="H41" s="3" t="str">
        <x:v>KO·EN</x:v>
      </x:c>
      <x:c r="I41" s="3" t="str">
        <x:v>Android APK</x:v>
      </x:c>
      <x:c r="J41" s="3" t="str">
        <x:v>A 여행 소유자. B 미참여</x:v>
      </x:c>
      <x:c r="K41" s="3" t="str">
        <x:v>1. 보기 초대 공유에서 링크 발급
2. B가 초대 링크로 참여 화면에 붙여넣기
3. 명시적으로 참여 후 여행 조회</x:v>
      </x:c>
      <x:c r="L41" s="3" t="str">
        <x:v>B가 viewer로 참여하여 일정·사진·비용을 읽는다. 링크를 열기만 했을 때 자동 참여하지 않는다.</x:v>
      </x:c>
      <x:c r="M41" s="3" t="str"/>
      <x:c r="N41" s="11" t="str"/>
      <x:c r="O41" s="11" t="str">
        <x:v>영문 리소스·언어 선택 미구현. EN 지원 빌드 필요.</x:v>
      </x:c>
      <x:c r="P41" s="11" t="str"/>
      <x:c r="Q41" s="12"/>
      <x:c r="R41" s="12"/>
      <x:c r="S41" s="11" t="str"/>
      <x:c r="T41" s="11" t="str"/>
      <x:c r="U41" s="11" t="str"/>
    </x:row>
    <x:row r="42" ht="97.5" customHeight="1">
      <x:c r="A42" s="3" t="str">
        <x:v>TC-037</x:v>
      </x:c>
      <x:c r="B42" s="3" t="str">
        <x:v>P0</x:v>
      </x:c>
      <x:c r="C42" s="3" t="str">
        <x:v>기능</x:v>
      </x:c>
      <x:c r="D42" s="11" t="str">
        <x:v>미실행</x:v>
      </x:c>
      <x:c r="E42" s="11" t="str">
        <x:v>차단</x:v>
      </x:c>
      <x:c r="F42" s="3" t="str">
        <x:v>동행</x:v>
      </x:c>
      <x:c r="G42" s="3" t="str">
        <x:v>viewer 쓰기 금지</x:v>
      </x:c>
      <x:c r="H42" s="3" t="str">
        <x:v>KO·EN</x:v>
      </x:c>
      <x:c r="I42" s="3" t="str">
        <x:v>Android APK</x:v>
      </x:c>
      <x:c r="J42" s="3" t="str">
        <x:v>TC-036. B viewer
UI 검사 후 필요한 API 거부 검사</x:v>
      </x:c>
      <x:c r="K42" s="3" t="str">
        <x:v>1. B로 일정·비용·사진·기간·준비물 변경 시도
2. A로 원본 재조회</x:v>
      </x:c>
      <x:c r="L42" s="3" t="str">
        <x:v>버튼 제한 또는 서버 거부로 변경되지 않는다. 쓰기 제한을 우회한 요청도 거부해야 한다.</x:v>
      </x:c>
      <x:c r="M42" s="3" t="str"/>
      <x:c r="N42" s="11" t="str"/>
      <x:c r="O42" s="11" t="str">
        <x:v>영문 리소스·언어 선택 미구현. EN 지원 빌드 필요.</x:v>
      </x:c>
      <x:c r="P42" s="11" t="str"/>
      <x:c r="Q42" s="12"/>
      <x:c r="R42" s="12"/>
      <x:c r="S42" s="11" t="str"/>
      <x:c r="T42" s="11" t="str"/>
      <x:c r="U42" s="11" t="str"/>
    </x:row>
    <x:row r="43" ht="97.5" customHeight="1">
      <x:c r="A43" s="3" t="str">
        <x:v>TC-038</x:v>
      </x:c>
      <x:c r="B43" s="3" t="str">
        <x:v>P0</x:v>
      </x:c>
      <x:c r="C43" s="3" t="str">
        <x:v>기능</x:v>
      </x:c>
      <x:c r="D43" s="11" t="str">
        <x:v>미실행</x:v>
      </x:c>
      <x:c r="E43" s="11" t="str">
        <x:v>차단</x:v>
      </x:c>
      <x:c r="F43" s="3" t="str">
        <x:v>동행</x:v>
      </x:c>
      <x:c r="G43" s="3" t="str">
        <x:v>편집 초대와 공동 저장</x:v>
      </x:c>
      <x:c r="H43" s="3" t="str">
        <x:v>KO·EN</x:v>
      </x:c>
      <x:c r="I43" s="3" t="str">
        <x:v>Android APK</x:v>
      </x:c>
      <x:c r="J43" s="3" t="str">
        <x:v>A 소유자. C 미참여</x:v>
      </x:c>
      <x:c r="K43" s="3" t="str">
        <x:v>1. 편집 초대 공유 후 C 확인 참여
2. C가 일정·비용 추가
3. A 새로고침</x:v>
      </x:c>
      <x:c r="L43" s="3" t="str">
        <x:v>C가 editor로 참여한다. A와 C가 같은 저장 내용을 보고 소유자 권한은 A에게 남는다.</x:v>
      </x:c>
      <x:c r="M43" s="3" t="str"/>
      <x:c r="N43" s="11" t="str"/>
      <x:c r="O43" s="11" t="str">
        <x:v>영문 리소스·언어 선택 미구현. EN 지원 빌드 필요.</x:v>
      </x:c>
      <x:c r="P43" s="11" t="str"/>
      <x:c r="Q43" s="12"/>
      <x:c r="R43" s="12"/>
      <x:c r="S43" s="11" t="str"/>
      <x:c r="T43" s="11" t="str"/>
      <x:c r="U43" s="11" t="str"/>
    </x:row>
    <x:row r="44" ht="97.5" customHeight="1">
      <x:c r="A44" s="3" t="str">
        <x:v>TC-039</x:v>
      </x:c>
      <x:c r="B44" s="3" t="str">
        <x:v>P0</x:v>
      </x:c>
      <x:c r="C44" s="3" t="str">
        <x:v>기능</x:v>
      </x:c>
      <x:c r="D44" s="11" t="str">
        <x:v>미실행</x:v>
      </x:c>
      <x:c r="E44" s="11" t="str">
        <x:v>차단</x:v>
      </x:c>
      <x:c r="F44" s="3" t="str">
        <x:v>동행</x:v>
      </x:c>
      <x:c r="G44" s="3" t="str">
        <x:v>역할 변경과 참여 해제</x:v>
      </x:c>
      <x:c r="H44" s="3" t="str">
        <x:v>KO·EN</x:v>
      </x:c>
      <x:c r="I44" s="3" t="str">
        <x:v>Android APK</x:v>
      </x:c>
      <x:c r="J44" s="3" t="str">
        <x:v>A 소유자. B viewer. C editor</x:v>
      </x:c>
      <x:c r="K44" s="3" t="str">
        <x:v>1. B를 편집자로 변경 후 B 재조회·저장
2. C를 뷰어로 변경 후 쓰기 시도
3. C 참여 해제 후 접근</x:v>
      </x:c>
      <x:c r="L44" s="3" t="str">
        <x:v>B의 편집이 가능하고 C의 쓰기는 차단된다. 참여 해제된 C는 여행·원본 사진을 더 이상 읽지 못한다.</x:v>
      </x:c>
      <x:c r="M44" s="3" t="str"/>
      <x:c r="N44" s="11" t="str"/>
      <x:c r="O44" s="11" t="str">
        <x:v>영문 리소스·언어 선택 미구현. EN 지원 빌드 필요.</x:v>
      </x:c>
      <x:c r="P44" s="11" t="str"/>
      <x:c r="Q44" s="12"/>
      <x:c r="R44" s="12"/>
      <x:c r="S44" s="11" t="str"/>
      <x:c r="T44" s="11" t="str"/>
      <x:c r="U44" s="11" t="str"/>
    </x:row>
    <x:row r="45" ht="97.5" customHeight="1">
      <x:c r="A45" s="3" t="str">
        <x:v>TC-040</x:v>
      </x:c>
      <x:c r="B45" s="3" t="str">
        <x:v>P1</x:v>
      </x:c>
      <x:c r="C45" s="3" t="str">
        <x:v>기능</x:v>
      </x:c>
      <x:c r="D45" s="11" t="str">
        <x:v>미실행</x:v>
      </x:c>
      <x:c r="E45" s="11" t="str">
        <x:v>차단</x:v>
      </x:c>
      <x:c r="F45" s="3" t="str">
        <x:v>동행</x:v>
      </x:c>
      <x:c r="G45" s="3" t="str">
        <x:v>초대 취소·소비 링크 재사용</x:v>
      </x:c>
      <x:c r="H45" s="3" t="str">
        <x:v>KO·EN</x:v>
      </x:c>
      <x:c r="I45" s="3" t="str">
        <x:v>Android APK</x:v>
      </x:c>
      <x:c r="J45" s="3" t="str">
        <x:v>새 초대 1개 및 다른 계정이 소비한 링크</x:v>
      </x:c>
      <x:c r="K45" s="3" t="str">
        <x:v>1. A가 새 초대 취소
2. 미참여 계정으로 취소 링크 열기
3. 소비한 링크를 다른 미참여 계정으로 열기</x:v>
      </x:c>
      <x:c r="L45" s="3" t="str">
        <x:v>취소·소비된 초대로 새 회원이 참여하지 못한다. 오류를 안내하고 기존 멤버 목록은 유지된다.</x:v>
      </x:c>
      <x:c r="M45" s="3" t="str"/>
      <x:c r="N45" s="11" t="str"/>
      <x:c r="O45" s="11" t="str">
        <x:v>영문 리소스·언어 선택 미구현. EN 지원 빌드 필요.</x:v>
      </x:c>
      <x:c r="P45" s="11" t="str"/>
      <x:c r="Q45" s="12"/>
      <x:c r="R45" s="12"/>
      <x:c r="S45" s="11" t="str"/>
      <x:c r="T45" s="11" t="str"/>
      <x:c r="U45" s="11" t="str"/>
    </x:row>
    <x:row r="46" ht="97.5" customHeight="1">
      <x:c r="A46" s="3" t="str">
        <x:v>TC-041</x:v>
      </x:c>
      <x:c r="B46" s="3" t="str">
        <x:v>P0</x:v>
      </x:c>
      <x:c r="C46" s="3" t="str">
        <x:v>기능</x:v>
      </x:c>
      <x:c r="D46" s="11" t="str">
        <x:v>미실행</x:v>
      </x:c>
      <x:c r="E46" s="11" t="str">
        <x:v>차단</x:v>
      </x:c>
      <x:c r="F46" s="3" t="str">
        <x:v>동행</x:v>
      </x:c>
      <x:c r="G46" s="3" t="str">
        <x:v>로그인 전 초대 복귀</x:v>
      </x:c>
      <x:c r="H46" s="3" t="str">
        <x:v>KO·EN</x:v>
      </x:c>
      <x:c r="I46" s="3" t="str">
        <x:v>Android APK</x:v>
      </x:c>
      <x:c r="J46" s="3" t="str">
        <x:v>A 초대 발급. B 로그아웃
HTTPS 초대의 Android 자동 앱 열기는 현재 검증 범위와 구분</x:v>
      </x:c>
      <x:c r="K46" s="3" t="str">
        <x:v>1. B가 초대 링크로 참여에서 링크 입력
2. 로그인하고 참여 선택
3. 이메일 로그인 후 초대 확인 참여</x:v>
      </x:c>
      <x:c r="L46" s="3" t="str">
        <x:v>로그인 동안 토큰이 보존된다. 본래 여행·역할로 확인 참여할 수 있다.</x:v>
      </x:c>
      <x:c r="M46" s="3" t="str"/>
      <x:c r="N46" s="11" t="str"/>
      <x:c r="O46" s="11" t="str">
        <x:v>영문 리소스·언어 선택 미구현. EN 지원 빌드 필요.</x:v>
      </x:c>
      <x:c r="P46" s="11" t="str"/>
      <x:c r="Q46" s="12"/>
      <x:c r="R46" s="12"/>
      <x:c r="S46" s="11" t="str"/>
      <x:c r="T46" s="11" t="str"/>
      <x:c r="U46" s="11" t="str"/>
    </x:row>
    <x:row r="47" ht="97.5" customHeight="1">
      <x:c r="A47" s="3" t="str">
        <x:v>TC-042</x:v>
      </x:c>
      <x:c r="B47" s="3" t="str">
        <x:v>P1</x:v>
      </x:c>
      <x:c r="C47" s="3" t="str">
        <x:v>기능</x:v>
      </x:c>
      <x:c r="D47" s="11" t="str">
        <x:v>미실행</x:v>
      </x:c>
      <x:c r="E47" s="11" t="str">
        <x:v>차단</x:v>
      </x:c>
      <x:c r="F47" s="3" t="str">
        <x:v>동시성</x:v>
      </x:c>
      <x:c r="G47" s="3" t="str">
        <x:v>동행 동시 편집 충돌</x:v>
      </x:c>
      <x:c r="H47" s="3" t="str">
        <x:v>KO·EN</x:v>
      </x:c>
      <x:c r="I47" s="3" t="str">
        <x:v>Android APK</x:v>
      </x:c>
      <x:c r="J47" s="3" t="str">
        <x:v>A·C가 같은 여행 버전을 열어둠</x:v>
      </x:c>
      <x:c r="K47" s="3" t="str">
        <x:v>1. A와 C가 다른 변경을 거의 동시에 저장
2. 충돌 계정에서 새로고침·재시도
3. 두 변경 내용 재조회</x:v>
      </x:c>
      <x:c r="L47" s="3" t="str">
        <x:v>낡은 버전으로 조용히 덮어쓰지 않는다. 충돌을 안내하고 재조회 후 안전하게 저장하며 중복 기록이 없다.</x:v>
      </x:c>
      <x:c r="M47" s="3" t="str"/>
      <x:c r="N47" s="11" t="str"/>
      <x:c r="O47" s="11" t="str">
        <x:v>영문 리소스·언어 선택 미구현. EN 지원 빌드 필요.</x:v>
      </x:c>
      <x:c r="P47" s="11" t="str"/>
      <x:c r="Q47" s="12"/>
      <x:c r="R47" s="12"/>
      <x:c r="S47" s="11" t="str"/>
      <x:c r="T47" s="11" t="str"/>
      <x:c r="U47" s="11" t="str"/>
    </x:row>
    <x:row r="48" ht="97.5" customHeight="1">
      <x:c r="A48" s="3" t="str">
        <x:v>TC-043</x:v>
      </x:c>
      <x:c r="B48" s="3" t="str">
        <x:v>P1</x:v>
      </x:c>
      <x:c r="C48" s="3" t="str">
        <x:v>기능</x:v>
      </x:c>
      <x:c r="D48" s="11" t="str">
        <x:v>미실행</x:v>
      </x:c>
      <x:c r="E48" s="11" t="str">
        <x:v>차단</x:v>
      </x:c>
      <x:c r="F48" s="3" t="str">
        <x:v>지도</x:v>
      </x:c>
      <x:c r="G48" s="3" t="str">
        <x:v>지도 확인과 검색 실패 복구</x:v>
      </x:c>
      <x:c r="H48" s="3" t="str">
        <x:v>KO·EN</x:v>
      </x:c>
      <x:c r="I48" s="3" t="str">
        <x:v>Android APK</x:v>
      </x:c>
      <x:c r="J48" s="3" t="str">
        <x:v>A 여행. 공급자 검색 성공은 실제 연결 환경에서 실행한다. 이번 릴리즈는 외부 Google Maps 확인 경로를 우선 검사.
라멘집 테스트 주소</x:v>
      </x:c>
      <x:c r="K48" s="3" t="str">
        <x:v>1. 일정 작성에서 장소 검색
2. 검색 결과가 제공되면 장소 선택
3. 공급자 조회 실패를 재현하고 Google Maps 열기
4. 작성 내용 확인</x:v>
      </x:c>
      <x:c r="L48" s="3" t="str">
        <x:v>실제로 받은 결과만 보여준다. 검색 실패에서 재검색·Google Maps 확인 행동을 안내한다. 외부 지도는 올바른 검색어로 열리고 실패 시 작성 내용이 사라지지 않는다.</x:v>
      </x:c>
      <x:c r="M48" s="3" t="str"/>
      <x:c r="N48" s="11" t="str"/>
      <x:c r="O48" s="11" t="str">
        <x:v>영문 리소스·언어 선택 미구현. EN 지원 빌드 필요.</x:v>
      </x:c>
      <x:c r="P48" s="11" t="str"/>
      <x:c r="Q48" s="12"/>
      <x:c r="R48" s="12"/>
      <x:c r="S48" s="11" t="str"/>
      <x:c r="T48" s="11" t="str"/>
      <x:c r="U48" s="11" t="str"/>
    </x:row>
    <x:row r="49" ht="97.5" customHeight="1">
      <x:c r="A49" s="3" t="str">
        <x:v>TC-044</x:v>
      </x:c>
      <x:c r="B49" s="3" t="str">
        <x:v>P0</x:v>
      </x:c>
      <x:c r="C49" s="3" t="str">
        <x:v>기능</x:v>
      </x:c>
      <x:c r="D49" s="11" t="str">
        <x:v>미실행</x:v>
      </x:c>
      <x:c r="E49" s="11" t="str">
        <x:v>차단</x:v>
      </x:c>
      <x:c r="F49" s="3" t="str">
        <x:v>지도 공유</x:v>
      </x:c>
      <x:c r="G49" s="3" t="str">
        <x:v>Android 공유 시트 수신</x:v>
      </x:c>
      <x:c r="H49" s="3" t="str">
        <x:v>KO·EN</x:v>
      </x:c>
      <x:c r="I49" s="3" t="str">
        <x:v>Android APK</x:v>
      </x:c>
      <x:c r="J49" s="3" t="str">
        <x:v>APK 설치. Google Maps 장소. 앱 실행 중 및 종료 상태</x:v>
      </x:c>
      <x:c r="K49" s="3" t="str">
        <x:v>1. Google Maps 장소의 공유 시트 열기
2. TripPrint를 공유 대상으로 선택
3. 실행 중·종료 상태 각각 확인</x:v>
      </x:c>
      <x:c r="L49" s="3" t="str">
        <x:v>TripPrint가 텍스트 공유 대상으로 보인다. 가져오기 화면으로 원문이 전달되고 자동 일정 저장은 하지 않는다.</x:v>
      </x:c>
      <x:c r="M49" s="3" t="str"/>
      <x:c r="N49" s="11" t="str"/>
      <x:c r="O49" s="11" t="str">
        <x:v>영문 리소스·언어 선택 미구현. EN 지원 빌드 필요.</x:v>
      </x:c>
      <x:c r="P49" s="11" t="str"/>
      <x:c r="Q49" s="12"/>
      <x:c r="R49" s="12"/>
      <x:c r="S49" s="11" t="str"/>
      <x:c r="T49" s="11" t="str"/>
      <x:c r="U49" s="11" t="str"/>
    </x:row>
    <x:row r="50" ht="97.5" customHeight="1">
      <x:c r="A50" s="3" t="str">
        <x:v>TC-045</x:v>
      </x:c>
      <x:c r="B50" s="3" t="str">
        <x:v>P1</x:v>
      </x:c>
      <x:c r="C50" s="3" t="str">
        <x:v>기능</x:v>
      </x:c>
      <x:c r="D50" s="11" t="str">
        <x:v>미실행</x:v>
      </x:c>
      <x:c r="E50" s="11" t="str">
        <x:v>차단</x:v>
      </x:c>
      <x:c r="F50" s="3" t="str">
        <x:v>지도 공유</x:v>
      </x:c>
      <x:c r="G50" s="3" t="str">
        <x:v>공유 장소를 로그인 후 일정에 추가</x:v>
      </x:c>
      <x:c r="H50" s="3" t="str">
        <x:v>KO·EN</x:v>
      </x:c>
      <x:c r="I50" s="3" t="str">
        <x:v>Android APK</x:v>
      </x:c>
      <x:c r="J50" s="3" t="str">
        <x:v>TD-04 정상 Google Maps 단일 장소 링크. 로그아웃 상태.</x:v>
      </x:c>
      <x:c r="K50" s="3" t="str">
        <x:v>1. 공유 링크 가져오기
2. 로그인 후 같은 후보로 복귀
3. 여행·DAY 선택
4. 장소 내용을 확인하고 저장</x:v>
      </x:c>
      <x:c r="L50" s="3" t="str">
        <x:v>공유 후보를 로그인 중 잃지 않는다. 확인한 장소만 선택 DAY에 한 번 저장한다. 공급자 조회 실패 시 확인 방법을 안내하며 준비 문구나 가짜 검색 결과를 표시하지 않는다. 전체 즐겨찾기 동기화로 안내하지 않는다.</x:v>
      </x:c>
      <x:c r="M50" s="3" t="str"/>
      <x:c r="N50" s="11" t="str"/>
      <x:c r="O50" s="11" t="str">
        <x:v>영문 리소스·언어 선택 미구현. EN 지원 빌드 필요.</x:v>
      </x:c>
      <x:c r="P50" s="11" t="str"/>
      <x:c r="Q50" s="12"/>
      <x:c r="R50" s="12"/>
      <x:c r="S50" s="11" t="str"/>
      <x:c r="T50" s="11" t="str"/>
      <x:c r="U50" s="11" t="str"/>
    </x:row>
    <x:row r="51" ht="97.5" customHeight="1">
      <x:c r="A51" s="3" t="str">
        <x:v>TC-046</x:v>
      </x:c>
      <x:c r="B51" s="3" t="str">
        <x:v>P1</x:v>
      </x:c>
      <x:c r="C51" s="3" t="str">
        <x:v>기능</x:v>
      </x:c>
      <x:c r="D51" s="11" t="str">
        <x:v>미실행</x:v>
      </x:c>
      <x:c r="E51" s="11" t="str">
        <x:v>차단</x:v>
      </x:c>
      <x:c r="F51" s="3" t="str">
        <x:v>지도 공유</x:v>
      </x:c>
      <x:c r="G51" s="3" t="str">
        <x:v>잘못된 링크 거부</x:v>
      </x:c>
      <x:c r="H51" s="3" t="str">
        <x:v>KO·EN</x:v>
      </x:c>
      <x:c r="I51" s="3" t="str">
        <x:v>Android APK</x:v>
      </x:c>
      <x:c r="J51" s="3" t="str">
        <x:v>장소 가져오기 입력 화면</x:v>
      </x:c>
      <x:c r="K51" s="3" t="str">
        <x:v>1. 일반 쇼핑 사이트 URL 입력
2. 깨진 링크 입력
3. 정상 Google Maps 링크로 수정</x:v>
      </x:c>
      <x:c r="L51" s="3" t="str">
        <x:v>잘못된 링크를 안내하고 외부 주소를 임의로 가져오거나 일정을 저장하지 않는다. 정상 입력으로 복구 가능하다.</x:v>
      </x:c>
      <x:c r="M51" s="3" t="str"/>
      <x:c r="N51" s="11" t="str"/>
      <x:c r="O51" s="11" t="str">
        <x:v>영문 리소스·언어 선택 미구현. EN 지원 빌드 필요.</x:v>
      </x:c>
      <x:c r="P51" s="11" t="str"/>
      <x:c r="Q51" s="12"/>
      <x:c r="R51" s="12"/>
      <x:c r="S51" s="11" t="str"/>
      <x:c r="T51" s="11" t="str"/>
      <x:c r="U51" s="11" t="str"/>
    </x:row>
    <x:row r="52" ht="97.5" customHeight="1">
      <x:c r="A52" s="3" t="str">
        <x:v>TC-047</x:v>
      </x:c>
      <x:c r="B52" s="3" t="str">
        <x:v>P0</x:v>
      </x:c>
      <x:c r="C52" s="3" t="str">
        <x:v>기능</x:v>
      </x:c>
      <x:c r="D52" s="11" t="str">
        <x:v>미실행</x:v>
      </x:c>
      <x:c r="E52" s="11" t="str">
        <x:v>차단</x:v>
      </x:c>
      <x:c r="F52" s="3" t="str">
        <x:v>발자국</x:v>
      </x:c>
      <x:c r="G52" s="3" t="str">
        <x:v>종료 여행 다이어리 생성</x:v>
      </x:c>
      <x:c r="H52" s="3" t="str">
        <x:v>KO·EN</x:v>
      </x:c>
      <x:c r="I52" s="3" t="str">
        <x:v>Android APK</x:v>
      </x:c>
      <x:c r="J52" s="3" t="str">
        <x:v>날짜별 일정·사진·영수증·비용이 있는 A 여행</x:v>
      </x:c>
      <x:c r="K52" s="3" t="str">
        <x:v>1. 여행 정보/종료 상태에서 여행 종료 저장
2. 발자국 다이어리 보기
3. 날짜 순서·연결 자료 확인</x:v>
      </x:c>
      <x:c r="L52" s="3" t="str">
        <x:v>저장 원본으로 날짜별 일정·사진·구매 기록·실제 비용을 표시한다. 원본에 자동 공개 권한을 부여하지 않는다.</x:v>
      </x:c>
      <x:c r="M52" s="3" t="str"/>
      <x:c r="N52" s="11" t="str"/>
      <x:c r="O52" s="11" t="str">
        <x:v>영문 리소스·언어 선택 미구현. EN 지원 빌드 필요.</x:v>
      </x:c>
      <x:c r="P52" s="11" t="str"/>
      <x:c r="Q52" s="12"/>
      <x:c r="R52" s="12"/>
      <x:c r="S52" s="11" t="str"/>
      <x:c r="T52" s="11" t="str"/>
      <x:c r="U52" s="11" t="str"/>
    </x:row>
    <x:row r="53" ht="97.5" customHeight="1">
      <x:c r="A53" s="3" t="str">
        <x:v>TC-048</x:v>
      </x:c>
      <x:c r="B53" s="3" t="str">
        <x:v>P1</x:v>
      </x:c>
      <x:c r="C53" s="3" t="str">
        <x:v>기능</x:v>
      </x:c>
      <x:c r="D53" s="11" t="str">
        <x:v>미실행</x:v>
      </x:c>
      <x:c r="E53" s="11" t="str">
        <x:v>차단</x:v>
      </x:c>
      <x:c r="F53" s="3" t="str">
        <x:v>발자국</x:v>
      </x:c>
      <x:c r="G53" s="3" t="str">
        <x:v>다이어리 합계와 미연결 기록</x:v>
      </x:c>
      <x:c r="H53" s="3" t="str">
        <x:v>KO·EN</x:v>
      </x:c>
      <x:c r="I53" s="3" t="str">
        <x:v>Android APK</x:v>
      </x:c>
      <x:c r="J53" s="3" t="str">
        <x:v>완료 여행. 통화별 실제·예상 비용 및 미연결 사진</x:v>
      </x:c>
      <x:c r="K53" s="3" t="str">
        <x:v>1. 다이어리 통화별 비용 확인
2. 공통 비용·미연결 사진 확인
3. 원본 여행과 대조</x:v>
      </x:c>
      <x:c r="L53" s="3" t="str">
        <x:v>실제 비용만 통화별 집계한다. 특정 일정에 연결되지 않은 자료도 누락하지 않으며 원본을 변경하지 않는다.</x:v>
      </x:c>
      <x:c r="M53" s="3" t="str"/>
      <x:c r="N53" s="11" t="str"/>
      <x:c r="O53" s="11" t="str">
        <x:v>영문 리소스·언어 선택 미구현. EN 지원 빌드 필요.</x:v>
      </x:c>
      <x:c r="P53" s="11" t="str"/>
      <x:c r="Q53" s="12"/>
      <x:c r="R53" s="12"/>
      <x:c r="S53" s="11" t="str"/>
      <x:c r="T53" s="11" t="str"/>
      <x:c r="U53" s="11" t="str"/>
    </x:row>
    <x:row r="54" ht="97.5" customHeight="1">
      <x:c r="A54" s="3" t="str">
        <x:v>TC-049</x:v>
      </x:c>
      <x:c r="B54" s="3" t="str">
        <x:v>P1</x:v>
      </x:c>
      <x:c r="C54" s="3" t="str">
        <x:v>기능</x:v>
      </x:c>
      <x:c r="D54" s="11" t="str">
        <x:v>미실행</x:v>
      </x:c>
      <x:c r="E54" s="11" t="str">
        <x:v>차단</x:v>
      </x:c>
      <x:c r="F54" s="3" t="str">
        <x:v>발자국</x:v>
      </x:c>
      <x:c r="G54" s="3" t="str">
        <x:v>재실행과 직접 URL 조회</x:v>
      </x:c>
      <x:c r="H54" s="3" t="str">
        <x:v>KO·EN</x:v>
      </x:c>
      <x:c r="I54" s="3" t="str">
        <x:v>Android APK</x:v>
      </x:c>
      <x:c r="J54" s="3" t="str">
        <x:v>A 완료 여행의 다이어리 ID
UUID 직접 경로는 HTML 200만으로 성공 판정하지 않음</x:v>
      </x:c>
      <x:c r="K54" s="3" t="str">
        <x:v>1. 앱 종료 후 발자국에서 재진입
2. 웹 다이어리 URL 새로고침
3. 미참여 B로 같은 URL 접근</x:v>
      </x:c>
      <x:c r="L54" s="3" t="str">
        <x:v>권한 있는 A의 다이어리가 복원된다. 비멤버 계정에게 비공개 원본을 노출하지 않는다.</x:v>
      </x:c>
      <x:c r="M54" s="3" t="str"/>
      <x:c r="N54" s="11" t="str"/>
      <x:c r="O54" s="11" t="str">
        <x:v>영문 리소스·언어 선택 미구현. EN 지원 빌드 필요.</x:v>
      </x:c>
      <x:c r="P54" s="11" t="str"/>
      <x:c r="Q54" s="12"/>
      <x:c r="R54" s="12"/>
      <x:c r="S54" s="11" t="str"/>
      <x:c r="T54" s="11" t="str"/>
      <x:c r="U54" s="11" t="str"/>
    </x:row>
    <x:row r="55" ht="97.5" customHeight="1">
      <x:c r="A55" s="3" t="str">
        <x:v>TC-050</x:v>
      </x:c>
      <x:c r="B55" s="3" t="str">
        <x:v>P0</x:v>
      </x:c>
      <x:c r="C55" s="3" t="str">
        <x:v>기능</x:v>
      </x:c>
      <x:c r="D55" s="11" t="str">
        <x:v>미실행</x:v>
      </x:c>
      <x:c r="E55" s="11" t="str">
        <x:v>차단</x:v>
      </x:c>
      <x:c r="F55" s="3" t="str">
        <x:v>커뮤니티</x:v>
      </x:c>
      <x:c r="G55" s="3" t="str">
        <x:v>선택 일정·사진·비용 게시</x:v>
      </x:c>
      <x:c r="H55" s="3" t="str">
        <x:v>KO·EN</x:v>
      </x:c>
      <x:c r="I55" s="3" t="str">
        <x:v>Android APK</x:v>
      </x:c>
      <x:c r="J55" s="3" t="str">
        <x:v>A 완료 여행. 비공개 메모와 영수증 원본 포함</x:v>
      </x:c>
      <x:c r="K55" s="3" t="str">
        <x:v>1. 게시에서 공개 범위 선택
2. 제목·본문 작성 후 저장
3. B 커뮤니티에서 조회</x:v>
      </x:c>
      <x:c r="L55" s="3" t="str">
        <x:v>선택한 범위만 게시한다. 개인 메모·영수증 원본은 공개하지 않는다. 비회원 피드에서도 허용 범위만 보인다.</x:v>
      </x:c>
      <x:c r="M55" s="3" t="str"/>
      <x:c r="N55" s="11" t="str"/>
      <x:c r="O55" s="11" t="str">
        <x:v>영문 리소스·언어 선택 미구현. EN 지원 빌드 필요.</x:v>
      </x:c>
      <x:c r="P55" s="11" t="str"/>
      <x:c r="Q55" s="12"/>
      <x:c r="R55" s="12"/>
      <x:c r="S55" s="11" t="str"/>
      <x:c r="T55" s="11" t="str"/>
      <x:c r="U55" s="11" t="str"/>
    </x:row>
    <x:row r="56" ht="97.5" customHeight="1">
      <x:c r="A56" s="3" t="str">
        <x:v>TC-051</x:v>
      </x:c>
      <x:c r="B56" s="3" t="str">
        <x:v>P0</x:v>
      </x:c>
      <x:c r="C56" s="3" t="str">
        <x:v>기능</x:v>
      </x:c>
      <x:c r="D56" s="11" t="str">
        <x:v>미실행</x:v>
      </x:c>
      <x:c r="E56" s="11" t="str">
        <x:v>차단</x:v>
      </x:c>
      <x:c r="F56" s="3" t="str">
        <x:v>커뮤니티</x:v>
      </x:c>
      <x:c r="G56" s="3" t="str">
        <x:v>공개 제외 범위 확인</x:v>
      </x:c>
      <x:c r="H56" s="3" t="str">
        <x:v>KO·EN</x:v>
      </x:c>
      <x:c r="I56" s="3" t="str">
        <x:v>Android APK</x:v>
      </x:c>
      <x:c r="J56" s="3" t="str">
        <x:v>A 완료 여행. 비용 또는 사진 미공개 선택</x:v>
      </x:c>
      <x:c r="K56" s="3" t="str">
        <x:v>1. 비용·사진 중 하나를 제외하고 게시
2. B·게스트에서 게시글 확인
3. 포함 자료와 제외 자료 비교</x:v>
      </x:c>
      <x:c r="L56" s="3" t="str">
        <x:v>제외한 사진·비용이 게시 응답과 화면에 나타나지 않는다. 다른 비공개 여행도 노출되지 않는다.</x:v>
      </x:c>
      <x:c r="M56" s="3" t="str"/>
      <x:c r="N56" s="11" t="str"/>
      <x:c r="O56" s="11" t="str">
        <x:v>영문 리소스·언어 선택 미구현. EN 지원 빌드 필요.</x:v>
      </x:c>
      <x:c r="P56" s="11" t="str"/>
      <x:c r="Q56" s="12"/>
      <x:c r="R56" s="12"/>
      <x:c r="S56" s="11" t="str"/>
      <x:c r="T56" s="11" t="str"/>
      <x:c r="U56" s="11" t="str"/>
    </x:row>
    <x:row r="57" ht="97.5" customHeight="1">
      <x:c r="A57" s="3" t="str">
        <x:v>TC-052</x:v>
      </x:c>
      <x:c r="B57" s="3" t="str">
        <x:v>P0</x:v>
      </x:c>
      <x:c r="C57" s="3" t="str">
        <x:v>기능</x:v>
      </x:c>
      <x:c r="D57" s="11" t="str">
        <x:v>미실행</x:v>
      </x:c>
      <x:c r="E57" s="11" t="str">
        <x:v>차단</x:v>
      </x:c>
      <x:c r="F57" s="3" t="str">
        <x:v>커뮤니티</x:v>
      </x:c>
      <x:c r="G57" s="3" t="str">
        <x:v>게시 철회와 사진 접근 차단</x:v>
      </x:c>
      <x:c r="H57" s="3" t="str">
        <x:v>KO·EN</x:v>
      </x:c>
      <x:c r="I57" s="3" t="str">
        <x:v>Android APK</x:v>
      </x:c>
      <x:c r="J57" s="3" t="str">
        <x:v>A 게시 완료. B가 공개 사진 URL을 확보
기존 URL은 증거에 마스킹. 철회와 단순 만료를 구분</x:v>
      </x:c>
      <x:c r="K57" s="3" t="str">
        <x:v>1. URL 조회 성공 확인 후 60초 안에 A 게시 철회
2. B 새로고침 및 같은 URL 조회
3. A 원본 여행 재조회</x:v>
      </x:c>
      <x:c r="L57" s="3" t="str">
        <x:v>게시글과 철회한 공개 사진 접근이 차단된다. A의 원본 여행·비공개 사진은 유지된다.</x:v>
      </x:c>
      <x:c r="M57" s="3" t="str"/>
      <x:c r="N57" s="11" t="str"/>
      <x:c r="O57" s="11" t="str">
        <x:v>영문 리소스·언어 선택 미구현. EN 지원 빌드 필요.</x:v>
      </x:c>
      <x:c r="P57" s="11" t="str"/>
      <x:c r="Q57" s="12"/>
      <x:c r="R57" s="12"/>
      <x:c r="S57" s="11" t="str"/>
      <x:c r="T57" s="11" t="str"/>
      <x:c r="U57" s="11" t="str"/>
    </x:row>
    <x:row r="58" ht="97.5" customHeight="1">
      <x:c r="A58" s="3" t="str">
        <x:v>TC-053</x:v>
      </x:c>
      <x:c r="B58" s="3" t="str">
        <x:v>P1</x:v>
      </x:c>
      <x:c r="C58" s="3" t="str">
        <x:v>기능</x:v>
      </x:c>
      <x:c r="D58" s="11" t="str">
        <x:v>미실행</x:v>
      </x:c>
      <x:c r="E58" s="11" t="str">
        <x:v>차단</x:v>
      </x:c>
      <x:c r="F58" s="3" t="str">
        <x:v>커뮤니티</x:v>
      </x:c>
      <x:c r="G58" s="3" t="str">
        <x:v>신고·차단</x:v>
      </x:c>
      <x:c r="H58" s="3" t="str">
        <x:v>KO·EN</x:v>
      </x:c>
      <x:c r="I58" s="3" t="str">
        <x:v>Android APK</x:v>
      </x:c>
      <x:c r="J58" s="3" t="str">
        <x:v>A 게시글. B 로그인</x:v>
      </x:c>
      <x:c r="K58" s="3" t="str">
        <x:v>1. B가 게시글 신고 사유 입력·제출
2. 작성자 차단
3. 피드 새로고침</x:v>
      </x:c>
      <x:c r="L58" s="3" t="str">
        <x:v>신고 저장을 안내한다. 운영 검토 완료라고 안내하지 않는다. 차단 작성자 게시물이 B 피드에 표시되지 않는다.</x:v>
      </x:c>
      <x:c r="M58" s="3" t="str"/>
      <x:c r="N58" s="11" t="str"/>
      <x:c r="O58" s="11" t="str">
        <x:v>영문 리소스·언어 선택 미구현. EN 지원 빌드 필요.</x:v>
      </x:c>
      <x:c r="P58" s="11" t="str"/>
      <x:c r="Q58" s="12"/>
      <x:c r="R58" s="12"/>
      <x:c r="S58" s="11" t="str"/>
      <x:c r="T58" s="11" t="str"/>
      <x:c r="U58" s="11" t="str"/>
    </x:row>
    <x:row r="59" ht="97.5" customHeight="1">
      <x:c r="A59" s="3" t="str">
        <x:v>TC-054</x:v>
      </x:c>
      <x:c r="B59" s="3" t="str">
        <x:v>P1</x:v>
      </x:c>
      <x:c r="C59" s="3" t="str">
        <x:v>기능</x:v>
      </x:c>
      <x:c r="D59" s="11" t="str">
        <x:v>미실행</x:v>
      </x:c>
      <x:c r="E59" s="11" t="str">
        <x:v>차단</x:v>
      </x:c>
      <x:c r="F59" s="3" t="str">
        <x:v>커뮤니티</x:v>
      </x:c>
      <x:c r="G59" s="3" t="str">
        <x:v>게시 실패·재시도</x:v>
      </x:c>
      <x:c r="H59" s="3" t="str">
        <x:v>KO·EN</x:v>
      </x:c>
      <x:c r="I59" s="3" t="str">
        <x:v>Android APK</x:v>
      </x:c>
      <x:c r="J59" s="3" t="str">
        <x:v>완료 여행. 게시 폼 작성</x:v>
      </x:c>
      <x:c r="K59" s="3" t="str">
        <x:v>1. 네트워크를 끄고 게시 시도
2. 입력 유지와 실패 안내 확인
3. 복구 후 재시도·피드 재조회</x:v>
      </x:c>
      <x:c r="L59" s="3" t="str">
        <x:v>오프라인 상태를 성공으로 안내하지 않는다. 재시도 후 같은 게시물 중복 생성 여부를 확인한다.</x:v>
      </x:c>
      <x:c r="M59" s="3" t="str"/>
      <x:c r="N59" s="11" t="str"/>
      <x:c r="O59" s="11" t="str">
        <x:v>영문 리소스·언어 선택 미구현. EN 지원 빌드 필요.</x:v>
      </x:c>
      <x:c r="P59" s="11" t="str"/>
      <x:c r="Q59" s="12"/>
      <x:c r="R59" s="12"/>
      <x:c r="S59" s="11" t="str"/>
      <x:c r="T59" s="11" t="str"/>
      <x:c r="U59" s="11" t="str"/>
    </x:row>
    <x:row r="60" ht="97.5" customHeight="1">
      <x:c r="A60" s="3" t="str">
        <x:v>TC-055</x:v>
      </x:c>
      <x:c r="B60" s="3" t="str">
        <x:v>P1</x:v>
      </x:c>
      <x:c r="C60" s="3" t="str">
        <x:v>기능</x:v>
      </x:c>
      <x:c r="D60" s="11" t="str">
        <x:v>미실행</x:v>
      </x:c>
      <x:c r="E60" s="11" t="str">
        <x:v>차단</x:v>
      </x:c>
      <x:c r="F60" s="3" t="str">
        <x:v>프로필</x:v>
      </x:c>
      <x:c r="G60" s="3" t="str">
        <x:v>닉네임·소개 저장과 복원</x:v>
      </x:c>
      <x:c r="H60" s="3" t="str">
        <x:v>KO·EN</x:v>
      </x:c>
      <x:c r="I60" s="3" t="str">
        <x:v>Android APK</x:v>
      </x:c>
      <x:c r="J60" s="3" t="str">
        <x:v>A 로그인</x:v>
      </x:c>
      <x:c r="K60" s="3" t="str">
        <x:v>1. 내 정보에서 닉네임·소개 변경
2. 저장 확인 후 앱 재실행
3. 다른 계정으로 전환 후 정보 확인</x:v>
      </x:c>
      <x:c r="L60" s="3" t="str">
        <x:v>서버 저장 완료 뒤 성공 안내를 표시한다. A의 정보가 복원되며 B 프로필을 덮어쓰지 않는다.</x:v>
      </x:c>
      <x:c r="M60" s="3" t="str"/>
      <x:c r="N60" s="11" t="str"/>
      <x:c r="O60" s="11" t="str">
        <x:v>영문 리소스·언어 선택 미구현. EN 지원 빌드 필요.</x:v>
      </x:c>
      <x:c r="P60" s="11" t="str"/>
      <x:c r="Q60" s="12"/>
      <x:c r="R60" s="12"/>
      <x:c r="S60" s="11" t="str"/>
      <x:c r="T60" s="11" t="str"/>
      <x:c r="U60" s="11" t="str"/>
    </x:row>
    <x:row r="61" ht="97.5" customHeight="1">
      <x:c r="A61" s="3" t="str">
        <x:v>TC-056</x:v>
      </x:c>
      <x:c r="B61" s="3" t="str">
        <x:v>P0</x:v>
      </x:c>
      <x:c r="C61" s="3" t="str">
        <x:v>기능</x:v>
      </x:c>
      <x:c r="D61" s="11" t="str">
        <x:v>미실행</x:v>
      </x:c>
      <x:c r="E61" s="11" t="str">
        <x:v>차단</x:v>
      </x:c>
      <x:c r="F61" s="3" t="str">
        <x:v>네트워크</x:v>
      </x:c>
      <x:c r="G61" s="3" t="str">
        <x:v>일정 저장 실패·복구</x:v>
      </x:c>
      <x:c r="H61" s="3" t="str">
        <x:v>KO·EN</x:v>
      </x:c>
      <x:c r="I61" s="3" t="str">
        <x:v>Android APK</x:v>
      </x:c>
      <x:c r="J61" s="3" t="str">
        <x:v>A 일정 폼. 네트워크 제어 가능</x:v>
      </x:c>
      <x:c r="K61" s="3" t="str">
        <x:v>1. 네트워크 끄고 일정 저장
2. 실패 안내와 재시도 확인
3. 네트워크 복구 후 한 번 재시도
4. 재실행 후 개수 확인</x:v>
      </x:c>
      <x:c r="L61" s="3" t="str">
        <x:v>실패한 요청은 저장 완료로 표시하지 않는다. 재시도로 한 일정만 저장하고 입력 유실·무한 로딩이 없다.</x:v>
      </x:c>
      <x:c r="M61" s="3" t="str"/>
      <x:c r="N61" s="11" t="str"/>
      <x:c r="O61" s="11" t="str">
        <x:v>영문 리소스·언어 선택 미구현. EN 지원 빌드 필요.</x:v>
      </x:c>
      <x:c r="P61" s="11" t="str"/>
      <x:c r="Q61" s="12"/>
      <x:c r="R61" s="12"/>
      <x:c r="S61" s="11" t="str"/>
      <x:c r="T61" s="11" t="str"/>
      <x:c r="U61" s="11" t="str"/>
    </x:row>
    <x:row r="62" ht="97.5" customHeight="1">
      <x:c r="A62" s="3" t="str">
        <x:v>TC-057</x:v>
      </x:c>
      <x:c r="B62" s="3" t="str">
        <x:v>P1</x:v>
      </x:c>
      <x:c r="C62" s="3" t="str">
        <x:v>기능</x:v>
      </x:c>
      <x:c r="D62" s="11" t="str">
        <x:v>미실행</x:v>
      </x:c>
      <x:c r="E62" s="11" t="str">
        <x:v>차단</x:v>
      </x:c>
      <x:c r="F62" s="3" t="str">
        <x:v>네트워크</x:v>
      </x:c>
      <x:c r="G62" s="3" t="str">
        <x:v>연결 전환과 사진 재조회</x:v>
      </x:c>
      <x:c r="H62" s="3" t="str">
        <x:v>KO·EN</x:v>
      </x:c>
      <x:c r="I62" s="3" t="str">
        <x:v>Android APK</x:v>
      </x:c>
      <x:c r="J62" s="3" t="str">
        <x:v>저장 사진과 로그인 세션. Wi-Fi·모바일 데이터</x:v>
      </x:c>
      <x:c r="K62" s="3" t="str">
        <x:v>1. Wi-Fi에서 여행 열기
2. 모바일 데이터로 전환
3. 1분 이상 후 사진 재조회</x:v>
      </x:c>
      <x:c r="L62" s="3" t="str">
        <x:v>사진 권한 URL을 갱신하며 세션과 여행이 유지된다. 네트워크 실패는 오류/재조회로 처리한다.</x:v>
      </x:c>
      <x:c r="M62" s="3" t="str"/>
      <x:c r="N62" s="11" t="str"/>
      <x:c r="O62" s="11" t="str">
        <x:v>영문 리소스·언어 선택 미구현. EN 지원 빌드 필요.</x:v>
      </x:c>
      <x:c r="P62" s="11" t="str"/>
      <x:c r="Q62" s="12"/>
      <x:c r="R62" s="12"/>
      <x:c r="S62" s="11" t="str"/>
      <x:c r="T62" s="11" t="str"/>
      <x:c r="U62" s="11" t="str"/>
    </x:row>
    <x:row r="63" ht="97.5" customHeight="1">
      <x:c r="A63" s="3" t="str">
        <x:v>TC-058</x:v>
      </x:c>
      <x:c r="B63" s="3" t="str">
        <x:v>P1</x:v>
      </x:c>
      <x:c r="C63" s="3" t="str">
        <x:v>기능</x:v>
      </x:c>
      <x:c r="D63" s="11" t="str">
        <x:v>미실행</x:v>
      </x:c>
      <x:c r="E63" s="11" t="str">
        <x:v>차단</x:v>
      </x:c>
      <x:c r="F63" s="3" t="str">
        <x:v>수명</x:v>
      </x:c>
      <x:c r="G63" s="3" t="str">
        <x:v>저장 중 계정 전환</x:v>
      </x:c>
      <x:c r="H63" s="3" t="str">
        <x:v>KO·EN</x:v>
      </x:c>
      <x:c r="I63" s="3" t="str">
        <x:v>Android APK</x:v>
      </x:c>
      <x:c r="J63" s="3" t="str">
        <x:v>A에서 폼 저장 요청이 지연됨. B 계정 준비
지연 재현은 QA 테스트 네트워크 사용</x:v>
      </x:c>
      <x:c r="K63" s="3" t="str">
        <x:v>1. 저장 또는 사진 등록 중 화면 이탈
2. 로그아웃 후 B 로그인
3. 늦은 A 응답과 B 목록 관찰</x:v>
      </x:c>
      <x:c r="L63" s="3" t="str">
        <x:v>이전 계정의 응답·입력·사진이 B 화면에 적용되지 않는다. 다른 계정으로 중복 저장하지 않는다.</x:v>
      </x:c>
      <x:c r="M63" s="3" t="str"/>
      <x:c r="N63" s="11" t="str"/>
      <x:c r="O63" s="11" t="str">
        <x:v>영문 리소스·언어 선택 미구현. EN 지원 빌드 필요.</x:v>
      </x:c>
      <x:c r="P63" s="11" t="str"/>
      <x:c r="Q63" s="12"/>
      <x:c r="R63" s="12"/>
      <x:c r="S63" s="11" t="str"/>
      <x:c r="T63" s="11" t="str"/>
      <x:c r="U63" s="11" t="str"/>
    </x:row>
    <x:row r="64" ht="97.5" customHeight="1">
      <x:c r="A64" s="3" t="str">
        <x:v>TC-059</x:v>
      </x:c>
      <x:c r="B64" s="3" t="str">
        <x:v>P1</x:v>
      </x:c>
      <x:c r="C64" s="3" t="str">
        <x:v>기능</x:v>
      </x:c>
      <x:c r="D64" s="11" t="str">
        <x:v>미실행</x:v>
      </x:c>
      <x:c r="E64" s="11" t="str">
        <x:v>차단</x:v>
      </x:c>
      <x:c r="F64" s="3" t="str">
        <x:v>사용성</x:v>
      </x:c>
      <x:c r="G64" s="3" t="str">
        <x:v>작은 화면·큰 글꼴·키보드</x:v>
      </x:c>
      <x:c r="H64" s="3" t="str">
        <x:v>KO·EN</x:v>
      </x:c>
      <x:c r="I64" s="3" t="str">
        <x:v>Android APK</x:v>
      </x:c>
      <x:c r="J64" s="3" t="str">
        <x:v>작은 Android 화면 및 글꼴 확대 설정</x:v>
      </x:c>
      <x:c r="K64" s="3" t="str">
        <x:v>1. 로그인·이메일 폼·여행 폼 열기
2. 키보드 표시 상태로 하단 저장·취소
3. 글꼴 확대 후 스크롤</x:v>
      </x:c>
      <x:c r="L64" s="3" t="str">
        <x:v>필수 입력·버튼·오류 문구가 잘리거나 가려지지 않는다. 스크롤로 모든 기능을 사용할 수 있다.</x:v>
      </x:c>
      <x:c r="M64" s="3" t="str"/>
      <x:c r="N64" s="11" t="str"/>
      <x:c r="O64" s="11" t="str">
        <x:v>영문 리소스·언어 선택 미구현. EN 지원 빌드 필요.</x:v>
      </x:c>
      <x:c r="P64" s="11" t="str"/>
      <x:c r="Q64" s="12"/>
      <x:c r="R64" s="12"/>
      <x:c r="S64" s="11" t="str"/>
      <x:c r="T64" s="11" t="str"/>
      <x:c r="U64" s="11" t="str"/>
    </x:row>
    <x:row r="65" ht="97.5" customHeight="1">
      <x:c r="A65" s="3" t="str">
        <x:v>TC-060</x:v>
      </x:c>
      <x:c r="B65" s="3" t="str">
        <x:v>P1</x:v>
      </x:c>
      <x:c r="C65" s="3" t="str">
        <x:v>기능</x:v>
      </x:c>
      <x:c r="D65" s="11" t="str">
        <x:v>미실행</x:v>
      </x:c>
      <x:c r="E65" s="11" t="str">
        <x:v>차단</x:v>
      </x:c>
      <x:c r="F65" s="3" t="str">
        <x:v>사용성</x:v>
      </x:c>
      <x:c r="G65" s="3" t="str">
        <x:v>Android 뒤로 가기와 복귀</x:v>
      </x:c>
      <x:c r="H65" s="3" t="str">
        <x:v>KO·EN</x:v>
      </x:c>
      <x:c r="I65" s="3" t="str">
        <x:v>Android APK</x:v>
      </x:c>
      <x:c r="J65" s="3" t="str">
        <x:v>일정 수정·이메일 모달·카메라·공유 화면</x:v>
      </x:c>
      <x:c r="K65" s="3" t="str">
        <x:v>1. 각 화면에서 시스템 뒤로 가기
2. 취소 후 원래 여행 재진입
3. 원본과 미저장 변경 비교</x:v>
      </x:c>
      <x:c r="L65" s="3" t="str">
        <x:v>예상 화면으로 복귀하고 미저장 변경을 임의 저장하지 않는다. 폼·로딩이 남아 앱을 막지 않는다.</x:v>
      </x:c>
      <x:c r="M65" s="3" t="str"/>
      <x:c r="N65" s="11" t="str"/>
      <x:c r="O65" s="11" t="str">
        <x:v>영문 리소스·언어 선택 미구현. EN 지원 빌드 필요.</x:v>
      </x:c>
      <x:c r="P65" s="11" t="str"/>
      <x:c r="Q65" s="12"/>
      <x:c r="R65" s="12"/>
      <x:c r="S65" s="11" t="str"/>
      <x:c r="T65" s="11" t="str"/>
      <x:c r="U65" s="11" t="str"/>
    </x:row>
    <x:row r="66" ht="97.5" customHeight="1">
      <x:c r="A66" s="3" t="str">
        <x:v>TC-061</x:v>
      </x:c>
      <x:c r="B66" s="3" t="str">
        <x:v>P0</x:v>
      </x:c>
      <x:c r="C66" s="3" t="str">
        <x:v>기능</x:v>
      </x:c>
      <x:c r="D66" s="11" t="str">
        <x:v>미실행</x:v>
      </x:c>
      <x:c r="E66" s="11" t="str">
        <x:v>차단</x:v>
      </x:c>
      <x:c r="F66" s="3" t="str">
        <x:v>권한</x:v>
      </x:c>
      <x:c r="G66" s="3" t="str">
        <x:v>실제 실행 빌드와 릴리즈 일치</x:v>
      </x:c>
      <x:c r="H66" s="3" t="str">
        <x:v>KO·EN</x:v>
      </x:c>
      <x:c r="I66" s="3" t="str">
        <x:v>Android APK</x:v>
      </x:c>
      <x:c r="J66" s="3" t="str">
        <x:v>현재 Git 소스로 사용자가 직접 preview APK 빌드. 실행요약에 Build ID·versionCode·APK URL 입력.
기준 소스 3195108 / 웹 test-1-no-dummy / 설치 패키지 com.travelapp.mobile. 이 차트의 문서 커밋은 기능 소스를 바꾸지 않는다.</x:v>
      </x:c>
      <x:c r="K66" s="3" t="str">
        <x:v>1. APK 설치 버전·빌드 식별자 확인
2. 첫 실행 브랜드·홈·영수증 스캔·로그인 문구 대조
3. 실제 사용한 웹/앱 빌드와 증거 기록</x:v>
      </x:c>
      <x:c r="L66" s="3" t="str">
        <x:v>Expo 빌드의 gitCommitHash를 확인하고 최신 화면·Haru·더미 제거가 설치 APK에 반영된다. 예전 빌드 dc9129fa를 최신 APK로 간주하지 않는다. Git push·웹 배포·Android 번들 성공을 APK 설치 성공으로 표시하지 않는다.</x:v>
      </x:c>
      <x:c r="M66" s="3" t="str"/>
      <x:c r="N66" s="11" t="str"/>
      <x:c r="O66" s="11" t="str">
        <x:v>영문 리소스·언어 선택 미구현. EN 지원 빌드 필요.</x:v>
      </x:c>
      <x:c r="P66" s="11" t="str"/>
      <x:c r="Q66" s="12"/>
      <x:c r="R66" s="12"/>
      <x:c r="S66" s="11" t="str"/>
      <x:c r="T66" s="11" t="str"/>
      <x:c r="U66" s="11" t="str"/>
    </x:row>
    <x:row r="67" ht="97.5" customHeight="1">
      <x:c r="A67" s="3" t="str">
        <x:v>TC-062</x:v>
      </x:c>
      <x:c r="B67" s="3" t="str">
        <x:v>P1</x:v>
      </x:c>
      <x:c r="C67" s="3" t="str">
        <x:v>기능</x:v>
      </x:c>
      <x:c r="D67" s="11" t="str">
        <x:v>미실행</x:v>
      </x:c>
      <x:c r="E67" s="11" t="str">
        <x:v>차단</x:v>
      </x:c>
      <x:c r="F67" s="3" t="str">
        <x:v>정리</x:v>
      </x:c>
      <x:c r="G67" s="3" t="str">
        <x:v>테스트 자료 정리</x:v>
      </x:c>
      <x:c r="H67" s="3" t="str">
        <x:v>KO·EN</x:v>
      </x:c>
      <x:c r="I67" s="3" t="str">
        <x:v>Android APK</x:v>
      </x:c>
      <x:c r="J67" s="3" t="str">
        <x:v>위 테스트에서 생성한 TEST1 자료 식별 가능</x:v>
      </x:c>
      <x:c r="K67" s="3" t="str">
        <x:v>1. 테스트 게시글 철회
2. 앱이 허용하는 테스트 사진·영수증·초대 정리
3. 테스트 계정 로그아웃
4. 남은 TEST1 여행 ID만 기록</x:v>
      </x:c>
      <x:c r="L67" s="3" t="str">
        <x:v>테스트 자료와 실제 사용자 자료를 구분한다. 기존 사용자 자료를 전체 초기화하지 않는다. 완전 여행/계정 삭제는 관리자 QA 목록으로 넘긴다.</x:v>
      </x:c>
      <x:c r="M67" s="3" t="str"/>
      <x:c r="N67" s="11" t="str"/>
      <x:c r="O67" s="11" t="str">
        <x:v>영문 리소스·언어 선택 미구현. EN 지원 빌드 필요.</x:v>
      </x:c>
      <x:c r="P67" s="11" t="str"/>
      <x:c r="Q67" s="12"/>
      <x:c r="R67" s="12"/>
      <x:c r="S67" s="11" t="str"/>
      <x:c r="T67" s="11" t="str"/>
      <x:c r="U67" s="11" t="str"/>
    </x:row>
    <x:row r="68" ht="97.5" customHeight="1">
      <x:c r="A68" s="3" t="str">
        <x:v>TC-063</x:v>
      </x:c>
      <x:c r="B68" s="3" t="str">
        <x:v>P0</x:v>
      </x:c>
      <x:c r="C68" s="3" t="str">
        <x:v>기능</x:v>
      </x:c>
      <x:c r="D68" s="11" t="str">
        <x:v>미실행</x:v>
      </x:c>
      <x:c r="E68" s="11" t="str">
        <x:v>차단</x:v>
      </x:c>
      <x:c r="F68" s="3" t="str">
        <x:v>영수증</x:v>
      </x:c>
      <x:c r="G68" s="3" t="str">
        <x:v>8MB 사진 자동 압축 후 스캔</x:v>
      </x:c>
      <x:c r="H68" s="3" t="str">
        <x:v>KO·EN</x:v>
      </x:c>
      <x:c r="I68" s="3" t="str">
        <x:v>Android APK</x:v>
      </x:c>
      <x:c r="J68" s="3" t="str">
        <x:v>TD-03 실제 8MB PNG와 A 여행
TD-03. 원본 크기·전송 크기·인식 결과 기록.</x:v>
      </x:c>
      <x:c r="K68" s="3" t="str">
        <x:v>1. 큰 영수증 사진 선택
2. 압축·업로드·스캔 완료 확인
3. 내용 확인 후 등록</x:v>
      </x:c>
      <x:c r="L68" s="3" t="str">
        <x:v>선택 원본이 커도 앱이 지원하는 이미지 압축을 수행한다. 실제 전송은 허용 한도 내이고 읽을 수 있는 사진으로 인식·등록한다. 원본 크기만 보고 사용자에게 재입력을 요구하지 않는다.</x:v>
      </x:c>
      <x:c r="M68" s="3" t="str"/>
      <x:c r="N68" s="11" t="str"/>
      <x:c r="O68" s="11" t="str">
        <x:v>영문 리소스·언어 선택 미구현. EN 지원 빌드 필요.</x:v>
      </x:c>
      <x:c r="P68" s="11" t="str"/>
      <x:c r="Q68" s="12"/>
      <x:c r="R68" s="12"/>
      <x:c r="S68" s="11" t="str"/>
      <x:c r="T68" s="11" t="str"/>
      <x:c r="U68" s="11" t="str"/>
    </x:row>
    <x:row r="69" ht="97.5" customHeight="1">
      <x:c r="A69" s="3" t="str">
        <x:v>TC-064</x:v>
      </x:c>
      <x:c r="B69" s="3" t="str">
        <x:v>P0</x:v>
      </x:c>
      <x:c r="C69" s="3" t="str">
        <x:v>기능</x:v>
      </x:c>
      <x:c r="D69" s="11" t="str">
        <x:v>미실행</x:v>
      </x:c>
      <x:c r="E69" s="11" t="str">
        <x:v>차단</x:v>
      </x:c>
      <x:c r="F69" s="3" t="str">
        <x:v>영수증</x:v>
      </x:c>
      <x:c r="G69" s="3" t="str">
        <x:v>스캔 실패 후 재스캔과 사진 변경</x:v>
      </x:c>
      <x:c r="H69" s="3" t="str">
        <x:v>KO·EN</x:v>
      </x:c>
      <x:c r="I69" s="3" t="str">
        <x:v>Android APK</x:v>
      </x:c>
      <x:c r="J69" s="3" t="str">
        <x:v>읽기 실패·서비스 장애를 통제된 환경에서 재현
TD-05 흐린 사진. 정상 TD-02로 복구.</x:v>
      </x:c>
      <x:c r="K69" s="3" t="str">
        <x:v>1. 읽기 실패 확인
2. 같은 사진 다시 스캔
3. 다른 사진 선택 후 재스캔
4. 사용자가 직접 입력 경로를 선택</x:v>
      </x:c>
      <x:c r="L69" s="3" t="str">
        <x:v>원본·여행 선택을 유지한다. 실패를 완료로 표시하지 않고 재스캔·다른 사진 선택을 제공한다. 수동 입력은 사용자가 선택한 대안이며 최초 기본 흐름이 아니다.</x:v>
      </x:c>
      <x:c r="M69" s="3" t="str"/>
      <x:c r="N69" s="11" t="str"/>
      <x:c r="O69" s="11" t="str">
        <x:v>영문 리소스·언어 선택 미구현. EN 지원 빌드 필요.</x:v>
      </x:c>
      <x:c r="P69" s="11" t="str"/>
      <x:c r="Q69" s="12"/>
      <x:c r="R69" s="12"/>
      <x:c r="S69" s="11" t="str"/>
      <x:c r="T69" s="11" t="str"/>
      <x:c r="U69" s="11" t="str"/>
    </x:row>
    <x:row r="70" ht="97.5" customHeight="1">
      <x:c r="A70" s="3" t="str">
        <x:v>TC-065</x:v>
      </x:c>
      <x:c r="B70" s="3" t="str">
        <x:v>P0</x:v>
      </x:c>
      <x:c r="C70" s="3" t="str">
        <x:v>기능</x:v>
      </x:c>
      <x:c r="D70" s="11" t="str">
        <x:v>미실행</x:v>
      </x:c>
      <x:c r="E70" s="11" t="str">
        <x:v>차단</x:v>
      </x:c>
      <x:c r="F70" s="3" t="str">
        <x:v>영수증</x:v>
      </x:c>
      <x:c r="G70" s="3" t="str">
        <x:v>여행 기간 밖 결제 날짜</x:v>
      </x:c>
      <x:c r="H70" s="3" t="str">
        <x:v>KO·EN</x:v>
      </x:c>
      <x:c r="I70" s="3" t="str">
        <x:v>Android APK</x:v>
      </x:c>
      <x:c r="J70" s="3" t="str">
        <x:v>TD-02 후보. 여행은 9/26~28
기간 밖 날짜를 범위 안으로 자동 바꾸지 않음.</x:v>
      </x:c>
      <x:c r="K70" s="3" t="str">
        <x:v>1. 결제일을 9/29로 변경
2. 등록 시도
3. 실제 결제일을 9/28로 복원 후 등록</x:v>
      </x:c>
      <x:c r="L70" s="3" t="str">
        <x:v>기간 밖 날짜를 임의 DAY에 저장하지 않는다. 날짜·여행을 확인하도록 안내하며 정상 수정 후 DAY3에 한 번 저장한다.</x:v>
      </x:c>
      <x:c r="M70" s="3" t="str"/>
      <x:c r="N70" s="11" t="str"/>
      <x:c r="O70" s="11" t="str">
        <x:v>영문 리소스·언어 선택 미구현. EN 지원 빌드 필요.</x:v>
      </x:c>
      <x:c r="P70" s="11" t="str"/>
      <x:c r="Q70" s="12"/>
      <x:c r="R70" s="12"/>
      <x:c r="S70" s="11" t="str"/>
      <x:c r="T70" s="11" t="str"/>
      <x:c r="U70" s="11" t="str"/>
    </x:row>
    <x:row r="71" ht="97.5" customHeight="1">
      <x:c r="A71" s="3" t="str">
        <x:v>TC-066</x:v>
      </x:c>
      <x:c r="B71" s="3" t="str">
        <x:v>P1</x:v>
      </x:c>
      <x:c r="C71" s="3" t="str">
        <x:v>기능</x:v>
      </x:c>
      <x:c r="D71" s="11" t="str">
        <x:v>미실행</x:v>
      </x:c>
      <x:c r="E71" s="11" t="str">
        <x:v>차단</x:v>
      </x:c>
      <x:c r="F71" s="3" t="str">
        <x:v>영수증</x:v>
      </x:c>
      <x:c r="G71" s="3" t="str">
        <x:v>일부만 읽힌 후보 확인</x:v>
      </x:c>
      <x:c r="H71" s="3" t="str">
        <x:v>KO·EN</x:v>
      </x:c>
      <x:c r="I71" s="3" t="str">
        <x:v>Android APK</x:v>
      </x:c>
      <x:c r="J71" s="3" t="str">
        <x:v>상호 또는 날짜·금액·메뉴가 흐린 영수증
TD-05. 판독 누락과 값 0을 구별.</x:v>
      </x:c>
      <x:c r="K71" s="3" t="str">
        <x:v>1. 사진 스캔
2. 누락 후보와 원본 비교
3. 확인할 항목만 보완
4. 등록</x:v>
      </x:c>
      <x:c r="L71" s="3" t="str">
        <x:v>읽지 못한 값은 확인 필요로 표시한다. 상호·주소·날짜·금액을 지어내지 않는다. 정상 인식 값은 유지하고 확인한 내용만 저장한다.</x:v>
      </x:c>
      <x:c r="M71" s="3" t="str"/>
      <x:c r="N71" s="11" t="str"/>
      <x:c r="O71" s="11" t="str">
        <x:v>영문 리소스·언어 선택 미구현. EN 지원 빌드 필요.</x:v>
      </x:c>
      <x:c r="P71" s="11" t="str"/>
      <x:c r="Q71" s="12"/>
      <x:c r="R71" s="12"/>
      <x:c r="S71" s="11" t="str"/>
      <x:c r="T71" s="11" t="str"/>
      <x:c r="U71" s="11" t="str"/>
    </x:row>
    <x:row r="72" ht="97.5" customHeight="1">
      <x:c r="A72" s="3" t="str">
        <x:v>TC-067</x:v>
      </x:c>
      <x:c r="B72" s="3" t="str">
        <x:v>P1</x:v>
      </x:c>
      <x:c r="C72" s="3" t="str">
        <x:v>기능</x:v>
      </x:c>
      <x:c r="D72" s="11" t="str">
        <x:v>미실행</x:v>
      </x:c>
      <x:c r="E72" s="11" t="str">
        <x:v>차단</x:v>
      </x:c>
      <x:c r="F72" s="3" t="str">
        <x:v>영수증</x:v>
      </x:c>
      <x:c r="G72" s="3" t="str">
        <x:v>메뉴명·수량·단가 오독 수정</x:v>
      </x:c>
      <x:c r="H72" s="3" t="str">
        <x:v>KO·EN</x:v>
      </x:c>
      <x:c r="I72" s="3" t="str">
        <x:v>Android APK</x:v>
      </x:c>
      <x:c r="J72" s="3" t="str">
        <x:v>TC-032 후보
TD-02. 3개 메뉴 1250+600+600=2450 JPY.</x:v>
      </x:c>
      <x:c r="K72" s="3" t="str">
        <x:v>1. 원본과 메뉴 비교
2. 틀린 메뉴명 하나와 수량·단가 수정
3. 합계 확인 후 등록
4. 기록 재조회</x:v>
      </x:c>
      <x:c r="L72" s="3" t="str">
        <x:v>수정한 항목이 저장되고 다른 메뉴·원본 사진·결제 합계가 임의 변경되지 않는다. 메뉴 합계가 결제 합계와 다르면 사용자 확인을 요구한다.</x:v>
      </x:c>
      <x:c r="M72" s="3" t="str"/>
      <x:c r="N72" s="11" t="str"/>
      <x:c r="O72" s="11" t="str">
        <x:v>영문 리소스·언어 선택 미구현. EN 지원 빌드 필요.</x:v>
      </x:c>
      <x:c r="P72" s="11" t="str"/>
      <x:c r="Q72" s="12"/>
      <x:c r="R72" s="12"/>
      <x:c r="S72" s="11" t="str"/>
      <x:c r="T72" s="11" t="str"/>
      <x:c r="U72" s="11" t="str"/>
    </x:row>
    <x:row r="73" ht="97.5" customHeight="1">
      <x:c r="A73" s="3" t="str">
        <x:v>TC-068</x:v>
      </x:c>
      <x:c r="B73" s="3" t="str">
        <x:v>P0</x:v>
      </x:c>
      <x:c r="C73" s="3" t="str">
        <x:v>기능</x:v>
      </x:c>
      <x:c r="D73" s="11" t="str">
        <x:v>미실행</x:v>
      </x:c>
      <x:c r="E73" s="11" t="str">
        <x:v>차단</x:v>
      </x:c>
      <x:c r="F73" s="3" t="str">
        <x:v>영수증</x:v>
      </x:c>
      <x:c r="G73" s="3" t="str">
        <x:v>입점 시간·세금·거스름돈 구별</x:v>
      </x:c>
      <x:c r="H73" s="3" t="str">
        <x:v>KO·EN</x:v>
      </x:c>
      <x:c r="I73" s="3" t="str">
        <x:v>Android APK</x:v>
      </x:c>
      <x:c r="J73" s="3" t="str">
        <x:v>TD-02 원본
TD-02. 인식 정확도는 실제 후보 기준으로 기록.</x:v>
      </x:c>
      <x:c r="K73" s="3" t="str">
        <x:v>1. 사진 스캔
2. 결제일·시간·합계 확인
3. 입점·소계·세금·받은 돈·거스름돈 대조</x:v>
      </x:c>
      <x:c r="L73" s="3" t="str">
        <x:v>결제 시각은 16:36이고 입점 13:50로 대체하지 않는다. 지출 합계는 JPY 2450이다. 내세금 222를 중복 가산하거나 거스름돈 0을 총액으로 읽지 않는다.</x:v>
      </x:c>
      <x:c r="M73" s="3" t="str"/>
      <x:c r="N73" s="11" t="str"/>
      <x:c r="O73" s="11" t="str">
        <x:v>영문 리소스·언어 선택 미구현. EN 지원 빌드 필요.</x:v>
      </x:c>
      <x:c r="P73" s="11" t="str"/>
      <x:c r="Q73" s="12"/>
      <x:c r="R73" s="12"/>
      <x:c r="S73" s="11" t="str"/>
      <x:c r="T73" s="11" t="str"/>
      <x:c r="U73" s="11" t="str"/>
    </x:row>
    <x:row r="74" ht="97.5" customHeight="1">
      <x:c r="A74" s="3" t="str">
        <x:v>TC-069</x:v>
      </x:c>
      <x:c r="B74" s="3" t="str">
        <x:v>P1</x:v>
      </x:c>
      <x:c r="C74" s="3" t="str">
        <x:v>기능</x:v>
      </x:c>
      <x:c r="D74" s="11" t="str">
        <x:v>미실행</x:v>
      </x:c>
      <x:c r="E74" s="11" t="str">
        <x:v>차단</x:v>
      </x:c>
      <x:c r="F74" s="3" t="str">
        <x:v>영수증</x:v>
      </x:c>
      <x:c r="G74" s="3" t="str">
        <x:v>결제 날짜·시간 수정 검증</x:v>
      </x:c>
      <x:c r="H74" s="3" t="str">
        <x:v>KO·EN</x:v>
      </x:c>
      <x:c r="I74" s="3" t="str">
        <x:v>Android APK</x:v>
      </x:c>
      <x:c r="J74" s="3" t="str">
        <x:v>영수증 인식 내용 수정 상태
TD-02. 실제 결제 날짜·시간과 기기 현재 날짜를 구별.</x:v>
      </x:c>
      <x:c r="K74" s="3" t="str">
        <x:v>1. 결제 날짜·시간 수정
2. 불가능한 날짜·24:60 입력 시도
3. 정상 값으로 복원 후 등록</x:v>
      </x:c>
      <x:c r="L74" s="3" t="str">
        <x:v>유효한 결제 날짜와 시간만 저장한다. DAY를 결제일에 맞춰 다시 연결하며 잘못된 값으로 저장하지 않는다.</x:v>
      </x:c>
      <x:c r="M74" s="3" t="str"/>
      <x:c r="N74" s="11" t="str"/>
      <x:c r="O74" s="11" t="str">
        <x:v>영문 리소스·언어 선택 미구현. EN 지원 빌드 필요.</x:v>
      </x:c>
      <x:c r="P74" s="11" t="str"/>
      <x:c r="Q74" s="12"/>
      <x:c r="R74" s="12"/>
      <x:c r="S74" s="11" t="str"/>
      <x:c r="T74" s="11" t="str"/>
      <x:c r="U74" s="11" t="str"/>
    </x:row>
    <x:row r="75" ht="97.5" customHeight="1">
      <x:c r="A75" s="3" t="str">
        <x:v>TC-070</x:v>
      </x:c>
      <x:c r="B75" s="3" t="str">
        <x:v>P1</x:v>
      </x:c>
      <x:c r="C75" s="3" t="str">
        <x:v>기능</x:v>
      </x:c>
      <x:c r="D75" s="11" t="str">
        <x:v>미실행</x:v>
      </x:c>
      <x:c r="E75" s="11" t="str">
        <x:v>차단</x:v>
      </x:c>
      <x:c r="F75" s="3" t="str">
        <x:v>영수증</x:v>
      </x:c>
      <x:c r="G75" s="3" t="str">
        <x:v>스캔 중 취소와 다시 진입</x:v>
      </x:c>
      <x:c r="H75" s="3" t="str">
        <x:v>KO·EN</x:v>
      </x:c>
      <x:c r="I75" s="3" t="str">
        <x:v>Android APK</x:v>
      </x:c>
      <x:c r="J75" s="3" t="str">
        <x:v>미등록 사진 스캔 요청 지연</x:v>
      </x:c>
      <x:c r="K75" s="3" t="str">
        <x:v>1. 스캔 중 닫기 또는 뒤로가기
2. 다른 여행 열기
3. 늦은 결과 후 첫 여행 재조회</x:v>
      </x:c>
      <x:c r="L75" s="3" t="str">
        <x:v>취소한 후보를 다른 여행에 적용하지 않는다. 확인 없이 기록·지출을 생성하지 않는다. 다시 촬영·선택할 수 있다.</x:v>
      </x:c>
      <x:c r="M75" s="3" t="str"/>
      <x:c r="N75" s="11" t="str"/>
      <x:c r="O75" s="11" t="str">
        <x:v>영문 리소스·언어 선택 미구현. EN 지원 빌드 필요.</x:v>
      </x:c>
      <x:c r="P75" s="11" t="str"/>
      <x:c r="Q75" s="12"/>
      <x:c r="R75" s="12"/>
      <x:c r="S75" s="11" t="str"/>
      <x:c r="T75" s="11" t="str"/>
      <x:c r="U75" s="11" t="str"/>
    </x:row>
    <x:row r="76" ht="97.5" customHeight="1">
      <x:c r="A76" s="3" t="str">
        <x:v>TC-071</x:v>
      </x:c>
      <x:c r="B76" s="3" t="str">
        <x:v>P1</x:v>
      </x:c>
      <x:c r="C76" s="3" t="str">
        <x:v>기능</x:v>
      </x:c>
      <x:c r="D76" s="11" t="str">
        <x:v>미실행</x:v>
      </x:c>
      <x:c r="E76" s="11" t="str">
        <x:v>차단</x:v>
      </x:c>
      <x:c r="F76" s="3" t="str">
        <x:v>영수증</x:v>
      </x:c>
      <x:c r="G76" s="3" t="str">
        <x:v>사용 한도 안내와 다음 행동</x:v>
      </x:c>
      <x:c r="H76" s="3" t="str">
        <x:v>KO·EN</x:v>
      </x:c>
      <x:c r="I76" s="3" t="str">
        <x:v>Android APK</x:v>
      </x:c>
      <x:c r="J76" s="3" t="str">
        <x:v>테스트 계정으로 스캔 제한 응답 재현
실제 사용자 계정의 한도를 소진하지 말고 통제된 QA 응답으로 재현.</x:v>
      </x:c>
      <x:c r="K76" s="3" t="str">
        <x:v>1. 스캔 요청
2. 제한 안내와 원본 유지 확인
3. 재시도 가능 시점 또는 직접 입력 선택</x:v>
      </x:c>
      <x:c r="L76" s="3" t="str">
        <x:v>한도·잠시 후 재시도 안내를 사용자 언어로 표시한다. 원본 보관 여부를 실제 상태와 맞게 안내하고 실패를 등록 성공으로 표시하지 않는다.</x:v>
      </x:c>
      <x:c r="M76" s="3" t="str"/>
      <x:c r="N76" s="11" t="str"/>
      <x:c r="O76" s="11" t="str">
        <x:v>영문 리소스·언어 선택 미구현. EN 지원 빌드 필요.</x:v>
      </x:c>
      <x:c r="P76" s="11" t="str"/>
      <x:c r="Q76" s="12"/>
      <x:c r="R76" s="12"/>
      <x:c r="S76" s="11" t="str"/>
      <x:c r="T76" s="11" t="str"/>
      <x:c r="U76" s="11" t="str"/>
    </x:row>
    <x:row r="77" ht="97.5" customHeight="1">
      <x:c r="A77" s="3" t="str">
        <x:v>TC-072</x:v>
      </x:c>
      <x:c r="B77" s="3" t="str">
        <x:v>P0</x:v>
      </x:c>
      <x:c r="C77" s="3" t="str">
        <x:v>기능</x:v>
      </x:c>
      <x:c r="D77" s="11" t="str">
        <x:v>미실행</x:v>
      </x:c>
      <x:c r="E77" s="11" t="str">
        <x:v>차단</x:v>
      </x:c>
      <x:c r="F77" s="3" t="str">
        <x:v>홈</x:v>
      </x:c>
      <x:c r="G77" s="3" t="str">
        <x:v>처음 온 사용자의 첫 여행 시작</x:v>
      </x:c>
      <x:c r="H77" s="3" t="str">
        <x:v>KO·EN</x:v>
      </x:c>
      <x:c r="I77" s="3" t="str">
        <x:v>Android APK</x:v>
      </x:c>
      <x:c r="J77" s="3" t="str">
        <x:v>신규 설치·로그아웃·여행 0개
첫 방문·여행 0개·인증 복원 대기를 각각 검사.</x:v>
      </x:c>
      <x:c r="K77" s="3" t="str">
        <x:v>1. 신규 설치·로그아웃 홈 확인
2. 도쿄 버튼을 한 번 누름
3. 로그인 완료
4. 도쿄가 선택된 새 여행 폼 확인
5. 여행 작성 후 저장</x:v>
      </x:c>
      <x:c r="L77" s="3" t="str">
        <x:v>빈 화면 대신 실제 여행 시작 행동을 보여준다. 도시 선택은 즉시 로그인 또는 새 여행 작성으로 이어진다. 목적지가 인증 후 유지되고 더미 일정·지출·동행이 없다.</x:v>
      </x:c>
      <x:c r="M77" s="3" t="str"/>
      <x:c r="N77" s="11" t="str"/>
      <x:c r="O77" s="11" t="str">
        <x:v>영문 리소스·언어 선택 미구현. EN 지원 빌드 필요.</x:v>
      </x:c>
      <x:c r="P77" s="11" t="str"/>
      <x:c r="Q77" s="12"/>
      <x:c r="R77" s="12"/>
      <x:c r="S77" s="11" t="str"/>
      <x:c r="T77" s="11" t="str"/>
      <x:c r="U77" s="11" t="str"/>
    </x:row>
    <x:row r="78" ht="97.5" customHeight="1">
      <x:c r="A78" s="3" t="str">
        <x:v>TC-073</x:v>
      </x:c>
      <x:c r="B78" s="3" t="str">
        <x:v>P1</x:v>
      </x:c>
      <x:c r="C78" s="3" t="str">
        <x:v>기능</x:v>
      </x:c>
      <x:c r="D78" s="11" t="str">
        <x:v>미실행</x:v>
      </x:c>
      <x:c r="E78" s="11" t="str">
        <x:v>차단</x:v>
      </x:c>
      <x:c r="F78" s="3" t="str">
        <x:v>여행</x:v>
      </x:c>
      <x:c r="G78" s="3" t="str">
        <x:v>항공편 없이 여행 생성</x:v>
      </x:c>
      <x:c r="H78" s="3" t="str">
        <x:v>KO·EN</x:v>
      </x:c>
      <x:c r="I78" s="3" t="str">
        <x:v>Android APK</x:v>
      </x:c>
      <x:c r="J78" s="3" t="str">
        <x:v>A 로그인
TD-01.</x:v>
      </x:c>
      <x:c r="K78" s="3" t="str">
        <x:v>1. 목적지·여행 기간 입력
2. 항공편 추가하지 않고 저장
3. 날짜별 일정 추가</x:v>
      </x:c>
      <x:c r="L78" s="3" t="str">
        <x:v>항공편이 없어도 여행·DAY를 만든다. 이후 장소·숙소·이동을 기록할 수 있다. 항공은 선택 항목으로 안내한다.</x:v>
      </x:c>
      <x:c r="M78" s="3" t="str"/>
      <x:c r="N78" s="11" t="str"/>
      <x:c r="O78" s="11" t="str">
        <x:v>영문 리소스·언어 선택 미구현. EN 지원 빌드 필요.</x:v>
      </x:c>
      <x:c r="P78" s="11" t="str"/>
      <x:c r="Q78" s="12"/>
      <x:c r="R78" s="12"/>
      <x:c r="S78" s="11" t="str"/>
      <x:c r="T78" s="11" t="str"/>
      <x:c r="U78" s="11" t="str"/>
    </x:row>
    <x:row r="79" ht="97.5" customHeight="1">
      <x:c r="A79" s="3" t="str">
        <x:v>TC-074</x:v>
      </x:c>
      <x:c r="B79" s="3" t="str">
        <x:v>P1</x:v>
      </x:c>
      <x:c r="C79" s="3" t="str">
        <x:v>기능</x:v>
      </x:c>
      <x:c r="D79" s="11" t="str">
        <x:v>미실행</x:v>
      </x:c>
      <x:c r="E79" s="11" t="str">
        <x:v>차단</x:v>
      </x:c>
      <x:c r="F79" s="3" t="str">
        <x:v>여행</x:v>
      </x:c>
      <x:c r="G79" s="3" t="str">
        <x:v>항공 도착지와 달력 입력</x:v>
      </x:c>
      <x:c r="H79" s="3" t="str">
        <x:v>KO·EN</x:v>
      </x:c>
      <x:c r="I79" s="3" t="str">
        <x:v>Android APK</x:v>
      </x:c>
      <x:c r="J79" s="3" t="str">
        <x:v>A 새 여행 화면
ICN→KIX / 일본·오사카.</x:v>
      </x:c>
      <x:c r="K79" s="3" t="str">
        <x:v>1. 항공편과 도착 공항 선택
2. 도착 나라·도시 반영 확인
3. 달력 날짜 선택 후 저장</x:v>
      </x:c>
      <x:c r="L79" s="3" t="str">
        <x:v>선택한 공항의 나라·도시가 반영된다. 사람이 입력한 수정값을 의도 없이 덮어쓰지 않고 올바른 기간의 DAY를 만든다.</x:v>
      </x:c>
      <x:c r="M79" s="3" t="str"/>
      <x:c r="N79" s="11" t="str"/>
      <x:c r="O79" s="11" t="str">
        <x:v>영문 리소스·언어 선택 미구현. EN 지원 빌드 필요.</x:v>
      </x:c>
      <x:c r="P79" s="11" t="str"/>
      <x:c r="Q79" s="12"/>
      <x:c r="R79" s="12"/>
      <x:c r="S79" s="11" t="str"/>
      <x:c r="T79" s="11" t="str"/>
      <x:c r="U79" s="11" t="str"/>
    </x:row>
    <x:row r="80" ht="97.5" customHeight="1">
      <x:c r="A80" s="3" t="str">
        <x:v>TC-075</x:v>
      </x:c>
      <x:c r="B80" s="3" t="str">
        <x:v>P1</x:v>
      </x:c>
      <x:c r="C80" s="3" t="str">
        <x:v>기능</x:v>
      </x:c>
      <x:c r="D80" s="11" t="str">
        <x:v>미실행</x:v>
      </x:c>
      <x:c r="E80" s="11" t="str">
        <x:v>차단</x:v>
      </x:c>
      <x:c r="F80" s="3" t="str">
        <x:v>하루</x:v>
      </x:c>
      <x:c r="G80" s="3" t="str">
        <x:v>조회 실패·빈 기록·없는 주소 복구</x:v>
      </x:c>
      <x:c r="H80" s="3" t="str">
        <x:v>KO·EN</x:v>
      </x:c>
      <x:c r="I80" s="3" t="str">
        <x:v>Android APK</x:v>
      </x:c>
      <x:c r="J80" s="3" t="str">
        <x:v>로그아웃 또는 A. 공개 조회 실패와 빈 응답을 각각 재현
ND-01 느린 네트워크.</x:v>
      </x:c>
      <x:c r="K80" s="3" t="str">
        <x:v>1. 커뮤니티 실패에서 다시 불러오기
2. 빈 기록에서 홈으로 이동
3. 없는 주소에서 홈으로 돌아가기</x:v>
      </x:c>
      <x:c r="L80" s="3" t="str">
        <x:v>상태에 맞는 하루·설명·다음 행동을 제공한다. 오류를 빈 목록으로 감추지 않으며 이미지가 일부만 잘리거나 로딩이 끝없이 지속되지 않는다.</x:v>
      </x:c>
      <x:c r="M80" s="3" t="str"/>
      <x:c r="N80" s="11" t="str"/>
      <x:c r="O80" s="11" t="str">
        <x:v>영문 리소스·언어 선택 미구현. EN 지원 빌드 필요.</x:v>
      </x:c>
      <x:c r="P80" s="11" t="str"/>
      <x:c r="Q80" s="12"/>
      <x:c r="R80" s="12"/>
      <x:c r="S80" s="11" t="str"/>
      <x:c r="T80" s="11" t="str"/>
      <x:c r="U80" s="11" t="str"/>
    </x:row>
    <x:row r="81" ht="97.5" customHeight="1">
      <x:c r="A81" s="3" t="str">
        <x:v>TC-076</x:v>
      </x:c>
      <x:c r="B81" s="3" t="str">
        <x:v>P0</x:v>
      </x:c>
      <x:c r="C81" s="3" t="str">
        <x:v>기능</x:v>
      </x:c>
      <x:c r="D81" s="11" t="str">
        <x:v>미실행</x:v>
      </x:c>
      <x:c r="E81" s="11" t="str">
        <x:v>차단</x:v>
      </x:c>
      <x:c r="F81" s="3" t="str">
        <x:v>인증</x:v>
      </x:c>
      <x:c r="G81" s="3" t="str">
        <x:v>초대·공유 의도를 지닌 로그인 복귀</x:v>
      </x:c>
      <x:c r="H81" s="3" t="str">
        <x:v>KO·EN</x:v>
      </x:c>
      <x:c r="I81" s="3" t="str">
        <x:v>Android APK</x:v>
      </x:c>
      <x:c r="J81" s="3" t="str">
        <x:v>서로 다른 링크를 A와 B의 별도 회차로 준비
TD-04. 초대 토큰·개인정보는 증거에서 가림.</x:v>
      </x:c>
      <x:c r="K81" s="3" t="str">
        <x:v>1. 초대 링크 또는 지도 장소 공유 열기
2. 로그인 진행
3. 원래 목적과 후보 복원
4. 다른 계정으로 전환 후 재검사</x:v>
      </x:c>
      <x:c r="L81" s="3" t="str">
        <x:v>로그인 후 원래 초대·장소 후보로 이어진다. 사용자 확인 없이 참여·등록하지 않는다. A의 요청과 비공개 기록을 B에게 적용하지 않는다.</x:v>
      </x:c>
      <x:c r="M81" s="3" t="str"/>
      <x:c r="N81" s="11" t="str"/>
      <x:c r="O81" s="11" t="str">
        <x:v>영문 리소스·언어 선택 미구현. EN 지원 빌드 필요.</x:v>
      </x:c>
      <x:c r="P81" s="11" t="str"/>
      <x:c r="Q81" s="12"/>
      <x:c r="R81" s="12"/>
      <x:c r="S81" s="11" t="str"/>
      <x:c r="T81" s="11" t="str"/>
      <x:c r="U81" s="11" t="str"/>
    </x:row>
    <x:row r="82" ht="97.5" customHeight="1">
      <x:c r="A82" s="3" t="str">
        <x:v>TXT-001</x:v>
      </x:c>
      <x:c r="B82" s="3" t="str">
        <x:v>P0</x:v>
      </x:c>
      <x:c r="C82" s="3" t="str">
        <x:v>문구</x:v>
      </x:c>
      <x:c r="D82" s="11" t="str">
        <x:v>미실행</x:v>
      </x:c>
      <x:c r="E82" s="11" t="str">
        <x:v>차단</x:v>
      </x:c>
      <x:c r="F82" s="3" t="str">
        <x:v>전체 화면</x:v>
      </x:c>
      <x:c r="G82" s="3" t="str">
        <x:v>내부 개발 설명 제거</x:v>
      </x:c>
      <x:c r="H82" s="3" t="str">
        <x:v>KO·EN</x:v>
      </x:c>
      <x:c r="I82" s="3" t="str">
        <x:v>Android APK</x:v>
      </x:c>
      <x:c r="J82" s="3" t="str">
        <x:v>한국어 화면은 현재 빌드. 영문 화면은 언어 기능 적용 빌드에서 별도 실행.
전체 문구 기준</x:v>
      </x:c>
      <x:c r="K82" s="3" t="str">
        <x:v>1. 39개 화면과 오류·모달·로딩을 모두 열기
2. 본문·버튼·토스트·접근성 읽기 확인</x:v>
      </x:c>
      <x:c r="L82" s="3" t="str">
        <x:v>DB·API·세션·공급자 설정·연결 준비·관리자 키·HTTP 번호·내부 경로가 고객 안내에 노출되지 않는다. 공항 코드·Google Maps 출처 등 사용자에게 필요한 정보는 유지한다.</x:v>
      </x:c>
      <x:c r="M82" s="3" t="str"/>
      <x:c r="N82" s="11" t="str"/>
      <x:c r="O82" s="11" t="str">
        <x:v>영문 리소스·언어 선택 미구현. EN 지원 빌드 필요.</x:v>
      </x:c>
      <x:c r="P82" s="11" t="str"/>
      <x:c r="Q82" s="12"/>
      <x:c r="R82" s="12"/>
      <x:c r="S82" s="11" t="str"/>
      <x:c r="T82" s="11" t="str"/>
      <x:c r="U82" s="11" t="str"/>
    </x:row>
    <x:row r="83" ht="97.5" customHeight="1">
      <x:c r="A83" s="3" t="str">
        <x:v>TXT-002</x:v>
      </x:c>
      <x:c r="B83" s="3" t="str">
        <x:v>P0</x:v>
      </x:c>
      <x:c r="C83" s="3" t="str">
        <x:v>문구</x:v>
      </x:c>
      <x:c r="D83" s="11" t="str">
        <x:v>미실행</x:v>
      </x:c>
      <x:c r="E83" s="11" t="str">
        <x:v>차단</x:v>
      </x:c>
      <x:c r="F83" s="3" t="str">
        <x:v>로그인</x:v>
      </x:c>
      <x:c r="G83" s="3" t="str">
        <x:v>실제 가능한 로그인 안내</x:v>
      </x:c>
      <x:c r="H83" s="3" t="str">
        <x:v>KO·EN</x:v>
      </x:c>
      <x:c r="I83" s="3" t="str">
        <x:v>Android APK</x:v>
      </x:c>
      <x:c r="J83" s="3" t="str">
        <x:v>한국어 화면은 현재 빌드. 영문 화면은 언어 기능 적용 빌드에서 별도 실행.
AUTH.CONTINUE,AUTH.GUEST,AUTH.RECOVERY</x:v>
      </x:c>
      <x:c r="K83" s="3" t="str">
        <x:v>1. 로그아웃 화면 읽기
2. 제공 버튼 선택
3. 로그인 실패 후 복귀</x:v>
      </x:c>
      <x:c r="L83" s="3" t="str">
        <x:v>실제 제공하는 이메일 로그인·회원가입을 안내한다. 소셜 준비·가짜 성공·현재 없는 버튼을 문구로 약속하지 않는다.</x:v>
      </x:c>
      <x:c r="M83" s="3" t="str"/>
      <x:c r="N83" s="11" t="str"/>
      <x:c r="O83" s="11" t="str">
        <x:v>영문 리소스·언어 선택 미구현. EN 지원 빌드 필요.</x:v>
      </x:c>
      <x:c r="P83" s="11" t="str"/>
      <x:c r="Q83" s="12"/>
      <x:c r="R83" s="12"/>
      <x:c r="S83" s="11" t="str"/>
      <x:c r="T83" s="11" t="str"/>
      <x:c r="U83" s="11" t="str"/>
    </x:row>
    <x:row r="84" ht="97.5" customHeight="1">
      <x:c r="A84" s="3" t="str">
        <x:v>TXT-003</x:v>
      </x:c>
      <x:c r="B84" s="3" t="str">
        <x:v>P0</x:v>
      </x:c>
      <x:c r="C84" s="3" t="str">
        <x:v>문구</x:v>
      </x:c>
      <x:c r="D84" s="11" t="str">
        <x:v>미실행</x:v>
      </x:c>
      <x:c r="E84" s="11" t="str">
        <x:v>차단</x:v>
      </x:c>
      <x:c r="F84" s="3" t="str">
        <x:v>첫 방문 홈</x:v>
      </x:c>
      <x:c r="G84" s="3" t="str">
        <x:v>첫 화면 목적과 시작 행동</x:v>
      </x:c>
      <x:c r="H84" s="3" t="str">
        <x:v>KO·EN</x:v>
      </x:c>
      <x:c r="I84" s="3" t="str">
        <x:v>Android APK</x:v>
      </x:c>
      <x:c r="J84" s="3" t="str">
        <x:v>한국어 화면은 현재 빌드. 영문 화면은 언어 기능 적용 빌드에서 별도 실행.
HOME.START,HOME.EXAMPLE</x:v>
      </x:c>
      <x:c r="K84" s="3" t="str">
        <x:v>1. 여행 0개 홈 열기
2. 제목·본문·CTA 읽기
3. 여행 시작 선택</x:v>
      </x:c>
      <x:c r="L84" s="3" t="str">
        <x:v>첫 화면의 여행 시작 목적과 다음 행동이 보인다. 샘플 여행·예시 지출·가상 동행·가짜 인기 순위를 실제 기록처럼 표시하지 않는다. 기록 0개에서 빈 화면만 보이지 않는다.</x:v>
      </x:c>
      <x:c r="M84" s="3" t="str"/>
      <x:c r="N84" s="11" t="str"/>
      <x:c r="O84" s="11" t="str">
        <x:v>영문 리소스·언어 선택 미구현. EN 지원 빌드 필요.</x:v>
      </x:c>
      <x:c r="P84" s="11" t="str"/>
      <x:c r="Q84" s="12"/>
      <x:c r="R84" s="12"/>
      <x:c r="S84" s="11" t="str"/>
      <x:c r="T84" s="11" t="str"/>
      <x:c r="U84" s="11" t="str"/>
    </x:row>
    <x:row r="85" ht="97.5" customHeight="1">
      <x:c r="A85" s="3" t="str">
        <x:v>TXT-004</x:v>
      </x:c>
      <x:c r="B85" s="3" t="str">
        <x:v>P1</x:v>
      </x:c>
      <x:c r="C85" s="3" t="str">
        <x:v>문구</x:v>
      </x:c>
      <x:c r="D85" s="11" t="str">
        <x:v>미실행</x:v>
      </x:c>
      <x:c r="E85" s="11" t="str">
        <x:v>차단</x:v>
      </x:c>
      <x:c r="F85" s="3" t="str">
        <x:v>전체 화면</x:v>
      </x:c>
      <x:c r="G85" s="3" t="str">
        <x:v>버튼 이름과 실제 행동 일치</x:v>
      </x:c>
      <x:c r="H85" s="3" t="str">
        <x:v>KO·EN</x:v>
      </x:c>
      <x:c r="I85" s="3" t="str">
        <x:v>Android APK</x:v>
      </x:c>
      <x:c r="J85" s="3" t="str">
        <x:v>한국어 화면은 현재 빌드. 영문 화면은 언어 기능 적용 빌드에서 별도 실행.
COMMON.SAVE,COMMON.CANCEL,COMMON.CLOSE</x:v>
      </x:c>
      <x:c r="K85" s="3" t="str">
        <x:v>1. 저장·닫기·취소·공개·초대 버튼 선택
2. 이동·저장·종료 결과와 문구 비교</x:v>
      </x:c>
      <x:c r="L85" s="3" t="str">
        <x:v>돌아가기·취소가 저장으로 오해되지 않는다. 공유와 비공개 저장을 구별하고 같은 행동에는 같은 용어를 사용한다.</x:v>
      </x:c>
      <x:c r="M85" s="3" t="str"/>
      <x:c r="N85" s="11" t="str"/>
      <x:c r="O85" s="11" t="str">
        <x:v>영문 리소스·언어 선택 미구현. EN 지원 빌드 필요.</x:v>
      </x:c>
      <x:c r="P85" s="11" t="str"/>
      <x:c r="Q85" s="12"/>
      <x:c r="R85" s="12"/>
      <x:c r="S85" s="11" t="str"/>
      <x:c r="T85" s="11" t="str"/>
      <x:c r="U85" s="11" t="str"/>
    </x:row>
    <x:row r="86" ht="97.5" customHeight="1">
      <x:c r="A86" s="3" t="str">
        <x:v>TXT-005</x:v>
      </x:c>
      <x:c r="B86" s="3" t="str">
        <x:v>P1</x:v>
      </x:c>
      <x:c r="C86" s="3" t="str">
        <x:v>문구</x:v>
      </x:c>
      <x:c r="D86" s="11" t="str">
        <x:v>미실행</x:v>
      </x:c>
      <x:c r="E86" s="11" t="str">
        <x:v>차단</x:v>
      </x:c>
      <x:c r="F86" s="3" t="str">
        <x:v>여행 기록</x:v>
      </x:c>
      <x:c r="G86" s="3" t="str">
        <x:v>여행·일정·발자국 용어 통일</x:v>
      </x:c>
      <x:c r="H86" s="3" t="str">
        <x:v>KO·EN</x:v>
      </x:c>
      <x:c r="I86" s="3" t="str">
        <x:v>Android APK</x:v>
      </x:c>
      <x:c r="J86" s="3" t="str">
        <x:v>한국어 화면은 현재 빌드. 영문 화면은 언어 기능 적용 빌드에서 별도 실행.
TERM.TRIP,TERM.ITINERARY,TERM.FOOTPRINTS</x:v>
      </x:c>
      <x:c r="K86" s="3" t="str">
        <x:v>1. 홈·상세·발자국·다이어리 탐색
2. 상단 제목과 탭·CTA 대조</x:v>
      </x:c>
      <x:c r="L86" s="3" t="str">
        <x:v>여행은 전체 여행, 일정은 날짜별 활동, 발자국은 여행 기록으로 일관되게 사용한다. 동일 개념을 임의 명칭으로 바꾸지 않는다.</x:v>
      </x:c>
      <x:c r="M86" s="3" t="str"/>
      <x:c r="N86" s="11" t="str"/>
      <x:c r="O86" s="11" t="str">
        <x:v>영문 리소스·언어 선택 미구현. EN 지원 빌드 필요.</x:v>
      </x:c>
      <x:c r="P86" s="11" t="str"/>
      <x:c r="Q86" s="12"/>
      <x:c r="R86" s="12"/>
      <x:c r="S86" s="11" t="str"/>
      <x:c r="T86" s="11" t="str"/>
      <x:c r="U86" s="11" t="str"/>
    </x:row>
    <x:row r="87" ht="97.5" customHeight="1">
      <x:c r="A87" s="3" t="str">
        <x:v>TXT-006</x:v>
      </x:c>
      <x:c r="B87" s="3" t="str">
        <x:v>P1</x:v>
      </x:c>
      <x:c r="C87" s="3" t="str">
        <x:v>문구</x:v>
      </x:c>
      <x:c r="D87" s="11" t="str">
        <x:v>미실행</x:v>
      </x:c>
      <x:c r="E87" s="11" t="str">
        <x:v>차단</x:v>
      </x:c>
      <x:c r="F87" s="3" t="str">
        <x:v>가입·로그인</x:v>
      </x:c>
      <x:c r="G87" s="3" t="str">
        <x:v>입력 오류가 수정 방법을 안내</x:v>
      </x:c>
      <x:c r="H87" s="3" t="str">
        <x:v>KO·EN</x:v>
      </x:c>
      <x:c r="I87" s="3" t="str">
        <x:v>Android APK</x:v>
      </x:c>
      <x:c r="J87" s="3" t="str">
        <x:v>한국어 화면은 현재 빌드. 영문 화면은 언어 기능 적용 빌드에서 별도 실행.
FORM.EMAIL,FORM.PASSWORD,FORM.CONFIRM</x:v>
      </x:c>
      <x:c r="K87" s="3" t="str">
        <x:v>1. 빈 항목·잘못된 이메일·불일치 비밀번호로 제출
2. 안내와 입력 항목 비교</x:v>
      </x:c>
      <x:c r="L87" s="3" t="str">
        <x:v>어느 항목을 어떻게 고칠지 알 수 있고 작성한 이메일이 남는다. 인증 코드·요청 식별자 같은 내부 원인만 안내하지 않는다.</x:v>
      </x:c>
      <x:c r="M87" s="3" t="str"/>
      <x:c r="N87" s="11" t="str"/>
      <x:c r="O87" s="11" t="str">
        <x:v>영문 리소스·언어 선택 미구현. EN 지원 빌드 필요.</x:v>
      </x:c>
      <x:c r="P87" s="11" t="str"/>
      <x:c r="Q87" s="12"/>
      <x:c r="R87" s="12"/>
      <x:c r="S87" s="11" t="str"/>
      <x:c r="T87" s="11" t="str"/>
      <x:c r="U87" s="11" t="str"/>
    </x:row>
    <x:row r="88" ht="97.5" customHeight="1">
      <x:c r="A88" s="3" t="str">
        <x:v>TXT-007</x:v>
      </x:c>
      <x:c r="B88" s="3" t="str">
        <x:v>P0</x:v>
      </x:c>
      <x:c r="C88" s="3" t="str">
        <x:v>문구</x:v>
      </x:c>
      <x:c r="D88" s="11" t="str">
        <x:v>미실행</x:v>
      </x:c>
      <x:c r="E88" s="11" t="str">
        <x:v>차단</x:v>
      </x:c>
      <x:c r="F88" s="3" t="str">
        <x:v>가입</x:v>
      </x:c>
      <x:c r="G88" s="3" t="str">
        <x:v>실제 보내지 않은 메일을 안내하지 않음</x:v>
      </x:c>
      <x:c r="H88" s="3" t="str">
        <x:v>KO·EN</x:v>
      </x:c>
      <x:c r="I88" s="3" t="str">
        <x:v>Android APK</x:v>
      </x:c>
      <x:c r="J88" s="3" t="str">
        <x:v>한국어 화면은 현재 빌드. 영문 화면은 언어 기능 적용 빌드에서 별도 실행.
AUTH.SIGNUP</x:v>
      </x:c>
      <x:c r="K88" s="3" t="str">
        <x:v>1. 회원가입 완료·실패·세션 없는 응답 확인
2. 메일 확인·재설정 안내와 실제 제공 기능 대조</x:v>
      </x:c>
      <x:c r="L88" s="3" t="str">
        <x:v>인증 링크 발송·확인 완료·비밀번호 재설정을 실제 수행했을 때만 안내한다. 이번 이메일 가입에서는 없는 메일 기능을 성공으로 말하지 않는다.</x:v>
      </x:c>
      <x:c r="M88" s="3" t="str"/>
      <x:c r="N88" s="11" t="str"/>
      <x:c r="O88" s="11" t="str">
        <x:v>영문 리소스·언어 선택 미구현. EN 지원 빌드 필요.</x:v>
      </x:c>
      <x:c r="P88" s="11" t="str"/>
      <x:c r="Q88" s="12"/>
      <x:c r="R88" s="12"/>
      <x:c r="S88" s="11" t="str"/>
      <x:c r="T88" s="11" t="str"/>
      <x:c r="U88" s="11" t="str"/>
    </x:row>
    <x:row r="89" ht="97.5" customHeight="1">
      <x:c r="A89" s="3" t="str">
        <x:v>TXT-008</x:v>
      </x:c>
      <x:c r="B89" s="3" t="str">
        <x:v>P1</x:v>
      </x:c>
      <x:c r="C89" s="3" t="str">
        <x:v>문구</x:v>
      </x:c>
      <x:c r="D89" s="11" t="str">
        <x:v>미실행</x:v>
      </x:c>
      <x:c r="E89" s="11" t="str">
        <x:v>차단</x:v>
      </x:c>
      <x:c r="F89" s="3" t="str">
        <x:v>여행 폼</x:v>
      </x:c>
      <x:c r="G89" s="3" t="str">
        <x:v>필수·선택·예시가 명확</x:v>
      </x:c>
      <x:c r="H89" s="3" t="str">
        <x:v>KO·EN</x:v>
      </x:c>
      <x:c r="I89" s="3" t="str">
        <x:v>Android APK</x:v>
      </x:c>
      <x:c r="J89" s="3" t="str">
        <x:v>한국어 화면은 현재 빌드. 영문 화면은 언어 기능 적용 빌드에서 별도 실행.
TRIP.FLIGHT_OPTIONAL,FORM.AMOUNT</x:v>
      </x:c>
      <x:c r="K89" s="3" t="str">
        <x:v>1. 여행·항공·비용 폼 읽기
2. 필수 누락·예시값 제출 시도</x:v>
      </x:c>
      <x:c r="L89" s="3" t="str">
        <x:v>항공편이 선택임을 알 수 있다. 날짜·시간·통화·금액의 의미가 명확하고 예시·placeholder를 실제 저장값으로 착각하지 않는다.</x:v>
      </x:c>
      <x:c r="M89" s="3" t="str"/>
      <x:c r="N89" s="11" t="str"/>
      <x:c r="O89" s="11" t="str">
        <x:v>영문 리소스·언어 선택 미구현. EN 지원 빌드 필요.</x:v>
      </x:c>
      <x:c r="P89" s="11" t="str"/>
      <x:c r="Q89" s="12"/>
      <x:c r="R89" s="12"/>
      <x:c r="S89" s="11" t="str"/>
      <x:c r="T89" s="11" t="str"/>
      <x:c r="U89" s="11" t="str"/>
    </x:row>
    <x:row r="90" ht="97.5" customHeight="1">
      <x:c r="A90" s="3" t="str">
        <x:v>TXT-009</x:v>
      </x:c>
      <x:c r="B90" s="3" t="str">
        <x:v>P0</x:v>
      </x:c>
      <x:c r="C90" s="3" t="str">
        <x:v>문구</x:v>
      </x:c>
      <x:c r="D90" s="11" t="str">
        <x:v>미실행</x:v>
      </x:c>
      <x:c r="E90" s="11" t="str">
        <x:v>차단</x:v>
      </x:c>
      <x:c r="F90" s="3" t="str">
        <x:v>저장·삭제</x:v>
      </x:c>
      <x:c r="G90" s="3" t="str">
        <x:v>완료 안내가 실제 결과와 일치</x:v>
      </x:c>
      <x:c r="H90" s="3" t="str">
        <x:v>KO·EN</x:v>
      </x:c>
      <x:c r="I90" s="3" t="str">
        <x:v>Android APK</x:v>
      </x:c>
      <x:c r="J90" s="3" t="str">
        <x:v>한국어 화면은 현재 빌드. 영문 화면은 언어 기능 적용 빌드에서 별도 실행.
COMMON.SAVE,COMMON.RETRY_SAVE</x:v>
      </x:c>
      <x:c r="K90" s="3" t="str">
        <x:v>1. 저장 성공·실패·취소·지연 응답 재현
2. 완료 문구와 재조회 대조</x:v>
      </x:c>
      <x:c r="L90" s="3" t="str">
        <x:v>실제 저장 완료 뒤에만 완료를 안내한다. 지연·실패는 진행·재시도로 안내하고 삭제 범위를 사실대로 설명한다.</x:v>
      </x:c>
      <x:c r="M90" s="3" t="str"/>
      <x:c r="N90" s="11" t="str"/>
      <x:c r="O90" s="11" t="str">
        <x:v>영문 리소스·언어 선택 미구현. EN 지원 빌드 필요.</x:v>
      </x:c>
      <x:c r="P90" s="11" t="str"/>
      <x:c r="Q90" s="12"/>
      <x:c r="R90" s="12"/>
      <x:c r="S90" s="11" t="str"/>
      <x:c r="T90" s="11" t="str"/>
      <x:c r="U90" s="11" t="str"/>
    </x:row>
    <x:row r="91" ht="97.5" customHeight="1">
      <x:c r="A91" s="3" t="str">
        <x:v>TXT-010</x:v>
      </x:c>
      <x:c r="B91" s="3" t="str">
        <x:v>P1</x:v>
      </x:c>
      <x:c r="C91" s="3" t="str">
        <x:v>문구</x:v>
      </x:c>
      <x:c r="D91" s="11" t="str">
        <x:v>미실행</x:v>
      </x:c>
      <x:c r="E91" s="11" t="str">
        <x:v>차단</x:v>
      </x:c>
      <x:c r="F91" s="3" t="str">
        <x:v>오류·네트워크</x:v>
      </x:c>
      <x:c r="G91" s="3" t="str">
        <x:v>오류 원인과 복구 행동</x:v>
      </x:c>
      <x:c r="H91" s="3" t="str">
        <x:v>KO·EN</x:v>
      </x:c>
      <x:c r="I91" s="3" t="str">
        <x:v>Android APK</x:v>
      </x:c>
      <x:c r="J91" s="3" t="str">
        <x:v>한국어 화면은 현재 빌드. 영문 화면은 언어 기능 적용 빌드에서 별도 실행.
ERROR.SAVE,ERROR.CONNECTION,AUTH.RECOVERY</x:v>
      </x:c>
      <x:c r="K91" s="3" t="str">
        <x:v>1. 오프라인·시간초과·충돌·만료 재현
2. 설명·버튼·입력 유지 확인</x:v>
      </x:c>
      <x:c r="L91" s="3" t="str">
        <x:v>다시 저장하기·재로그인·새로고침 등 수행 가능한 행동을 설명한다. 같은 요청·서버 응답 같은 내부 표현을 요구하지 않는다.</x:v>
      </x:c>
      <x:c r="M91" s="3" t="str"/>
      <x:c r="N91" s="11" t="str"/>
      <x:c r="O91" s="11" t="str">
        <x:v>영문 리소스·언어 선택 미구현. EN 지원 빌드 필요.</x:v>
      </x:c>
      <x:c r="P91" s="11" t="str"/>
      <x:c r="Q91" s="12"/>
      <x:c r="R91" s="12"/>
      <x:c r="S91" s="11" t="str"/>
      <x:c r="T91" s="11" t="str"/>
      <x:c r="U91" s="11" t="str"/>
    </x:row>
    <x:row r="92" ht="97.5" customHeight="1">
      <x:c r="A92" s="3" t="str">
        <x:v>TXT-011</x:v>
      </x:c>
      <x:c r="B92" s="3" t="str">
        <x:v>P0</x:v>
      </x:c>
      <x:c r="C92" s="3" t="str">
        <x:v>문구</x:v>
      </x:c>
      <x:c r="D92" s="11" t="str">
        <x:v>미실행</x:v>
      </x:c>
      <x:c r="E92" s="11" t="str">
        <x:v>차단</x:v>
      </x:c>
      <x:c r="F92" s="3" t="str">
        <x:v>전체 오류</x:v>
      </x:c>
      <x:c r="G92" s="3" t="str">
        <x:v>원본 오류·민감 정보 노출 금지</x:v>
      </x:c>
      <x:c r="H92" s="3" t="str">
        <x:v>KO·EN</x:v>
      </x:c>
      <x:c r="I92" s="3" t="str">
        <x:v>Android APK</x:v>
      </x:c>
      <x:c r="J92" s="3" t="str">
        <x:v>한국어 화면은 현재 빌드. 영문 화면은 언어 기능 적용 빌드에서 별도 실행.
ERROR.CONNECTION</x:v>
      </x:c>
      <x:c r="K92" s="3" t="str">
        <x:v>1. 잘못된 응답·권한 거부·일반 오류 재현
2. alert·토스트·화면·접근성 문자열 확인</x:v>
      </x:c>
      <x:c r="L92" s="3" t="str">
        <x:v>SQL·stack·토큰·서명 URL·UUID·JSON·원본 영문 예외를 고객 오류로 출력하지 않는다. 선택 언어로 안전한 복구 안내가 보인다.</x:v>
      </x:c>
      <x:c r="M92" s="3" t="str"/>
      <x:c r="N92" s="11" t="str"/>
      <x:c r="O92" s="11" t="str">
        <x:v>영문 리소스·언어 선택 미구현. EN 지원 빌드 필요.</x:v>
      </x:c>
      <x:c r="P92" s="11" t="str"/>
      <x:c r="Q92" s="12"/>
      <x:c r="R92" s="12"/>
      <x:c r="S92" s="11" t="str"/>
      <x:c r="T92" s="11" t="str"/>
      <x:c r="U92" s="11" t="str"/>
    </x:row>
    <x:row r="93" ht="97.5" customHeight="1">
      <x:c r="A93" s="3" t="str">
        <x:v>TXT-012</x:v>
      </x:c>
      <x:c r="B93" s="3" t="str">
        <x:v>P0</x:v>
      </x:c>
      <x:c r="C93" s="3" t="str">
        <x:v>문구</x:v>
      </x:c>
      <x:c r="D93" s="11" t="str">
        <x:v>미실행</x:v>
      </x:c>
      <x:c r="E93" s="11" t="str">
        <x:v>차단</x:v>
      </x:c>
      <x:c r="F93" s="3" t="str">
        <x:v>영수증 시작</x:v>
      </x:c>
      <x:c r="G93" s="3" t="str">
        <x:v>사진 스캔이 기본 흐름</x:v>
      </x:c>
      <x:c r="H93" s="3" t="str">
        <x:v>KO·EN</x:v>
      </x:c>
      <x:c r="I93" s="3" t="str">
        <x:v>Android APK</x:v>
      </x:c>
      <x:c r="J93" s="3" t="str">
        <x:v>한국어 화면은 현재 빌드. 영문 화면은 언어 기능 적용 빌드에서 별도 실행.
RECEIPT.LOADING,RECEIPT.REVIEW</x:v>
      </x:c>
      <x:c r="K93" s="3" t="str">
        <x:v>1. 촬영·사진 선택
2. 로딩·인식 확인 문구 읽기</x:v>
      </x:c>
      <x:c r="L93" s="3" t="str">
        <x:v>사진을 읽고 결과를 확인한다는 흐름이다. 전체 영수증을 사용자가 다시 작성해야 한다는 문구를 기본 안내로 사용하지 않는다.</x:v>
      </x:c>
      <x:c r="M93" s="3" t="str"/>
      <x:c r="N93" s="11" t="str"/>
      <x:c r="O93" s="11" t="str">
        <x:v>영문 리소스·언어 선택 미구현. EN 지원 빌드 필요.</x:v>
      </x:c>
      <x:c r="P93" s="11" t="str"/>
      <x:c r="Q93" s="12"/>
      <x:c r="R93" s="12"/>
      <x:c r="S93" s="11" t="str"/>
      <x:c r="T93" s="11" t="str"/>
      <x:c r="U93" s="11" t="str"/>
    </x:row>
    <x:row r="94" ht="97.5" customHeight="1">
      <x:c r="A94" s="3" t="str">
        <x:v>TXT-013</x:v>
      </x:c>
      <x:c r="B94" s="3" t="str">
        <x:v>P1</x:v>
      </x:c>
      <x:c r="C94" s="3" t="str">
        <x:v>문구</x:v>
      </x:c>
      <x:c r="D94" s="11" t="str">
        <x:v>미실행</x:v>
      </x:c>
      <x:c r="E94" s="11" t="str">
        <x:v>차단</x:v>
      </x:c>
      <x:c r="F94" s="3" t="str">
        <x:v>영수증 실패</x:v>
      </x:c>
      <x:c r="G94" s="3" t="str">
        <x:v>실패·누락을 확인 가능한 말로 안내</x:v>
      </x:c>
      <x:c r="H94" s="3" t="str">
        <x:v>KO·EN</x:v>
      </x:c>
      <x:c r="I94" s="3" t="str">
        <x:v>Android APK</x:v>
      </x:c>
      <x:c r="J94" s="3" t="str">
        <x:v>한국어 화면은 현재 빌드. 영문 화면은 언어 기능 적용 빌드에서 별도 실행.
RECEIPT.ERROR,RECEIPT.RETRY,RECEIPT.OTHER</x:v>
      </x:c>
      <x:c r="K94" s="3" t="str">
        <x:v>1. 흐린 사진·부분 인식·실패 재현
2. 안내·재스캔·사진 변경·직접 입력 확인</x:v>
      </x:c>
      <x:c r="L94" s="3" t="str">
        <x:v>상호·날짜·금액 등 확인할 항목을 알 수 있다. 다시 스캔하기와 다른 사진 선택이 먼저 보이고 수동 대안은 사용자가 선택한다.</x:v>
      </x:c>
      <x:c r="M94" s="3" t="str"/>
      <x:c r="N94" s="11" t="str"/>
      <x:c r="O94" s="11" t="str">
        <x:v>영문 리소스·언어 선택 미구현. EN 지원 빌드 필요.</x:v>
      </x:c>
      <x:c r="P94" s="11" t="str"/>
      <x:c r="Q94" s="12"/>
      <x:c r="R94" s="12"/>
      <x:c r="S94" s="11" t="str"/>
      <x:c r="T94" s="11" t="str"/>
      <x:c r="U94" s="11" t="str"/>
    </x:row>
    <x:row r="95" ht="97.5" customHeight="1">
      <x:c r="A95" s="3" t="str">
        <x:v>TXT-014</x:v>
      </x:c>
      <x:c r="B95" s="3" t="str">
        <x:v>P0</x:v>
      </x:c>
      <x:c r="C95" s="3" t="str">
        <x:v>문구</x:v>
      </x:c>
      <x:c r="D95" s="11" t="str">
        <x:v>미실행</x:v>
      </x:c>
      <x:c r="E95" s="11" t="str">
        <x:v>차단</x:v>
      </x:c>
      <x:c r="F95" s="3" t="str">
        <x:v>영수증 등록</x:v>
      </x:c>
      <x:c r="G95" s="3" t="str">
        <x:v>날짜·DAY·실제 지출 안내 정확</x:v>
      </x:c>
      <x:c r="H95" s="3" t="str">
        <x:v>KO·EN</x:v>
      </x:c>
      <x:c r="I95" s="3" t="str">
        <x:v>Android APK</x:v>
      </x:c>
      <x:c r="J95" s="3" t="str">
        <x:v>한국어 화면은 현재 빌드. 영문 화면은 언어 기능 적용 빌드에서 별도 실행.
RECEIPT.PAID_DATE,RECEIPT.PAID_TIME,RECEIPT.REGISTER</x:v>
      </x:c>
      <x:c r="K95" s="3" t="str">
        <x:v>1. TD-02 후보와 등록 문구 확인
2. DAY3 등록 후 재조회</x:v>
      </x:c>
      <x:c r="L95" s="3" t="str">
        <x:v>안내한 날짜·DAY·통화·합계가 실제 저장 결과와 같다. 입점 날짜나 메뉴 단가를 결제 합계로 설명하지 않는다.</x:v>
      </x:c>
      <x:c r="M95" s="3" t="str"/>
      <x:c r="N95" s="11" t="str"/>
      <x:c r="O95" s="11" t="str">
        <x:v>영문 리소스·언어 선택 미구현. EN 지원 빌드 필요.</x:v>
      </x:c>
      <x:c r="P95" s="11" t="str"/>
      <x:c r="Q95" s="12"/>
      <x:c r="R95" s="12"/>
      <x:c r="S95" s="11" t="str"/>
      <x:c r="T95" s="11" t="str"/>
      <x:c r="U95" s="11" t="str"/>
    </x:row>
    <x:row r="96" ht="97.5" customHeight="1">
      <x:c r="A96" s="3" t="str">
        <x:v>TXT-015</x:v>
      </x:c>
      <x:c r="B96" s="3" t="str">
        <x:v>P1</x:v>
      </x:c>
      <x:c r="C96" s="3" t="str">
        <x:v>문구</x:v>
      </x:c>
      <x:c r="D96" s="11" t="str">
        <x:v>미실행</x:v>
      </x:c>
      <x:c r="E96" s="11" t="str">
        <x:v>차단</x:v>
      </x:c>
      <x:c r="F96" s="3" t="str">
        <x:v>비용</x:v>
      </x:c>
      <x:c r="G96" s="3" t="str">
        <x:v>금액과 통화의 의미</x:v>
      </x:c>
      <x:c r="H96" s="3" t="str">
        <x:v>KO·EN</x:v>
      </x:c>
      <x:c r="I96" s="3" t="str">
        <x:v>Android APK</x:v>
      </x:c>
      <x:c r="J96" s="3" t="str">
        <x:v>한국어 화면은 현재 빌드. 영문 화면은 언어 기능 적용 빌드에서 별도 실행.
COST.ACTUAL,COST.PLANNED,FORM.AMOUNT</x:v>
      </x:c>
      <x:c r="K96" s="3" t="str">
        <x:v>1. 실제·예상 비용과 서로 다른 통화 확인
2. 비용 합계·다이어리 문구 읽기</x:v>
      </x:c>
      <x:c r="L96" s="3" t="str">
        <x:v>실제와 예상을 구별한다. 서로 다른 통화를 하나의 합계나 원화 환산으로 표시하지 않는다. 현지 금액과 통화가 명확하다.</x:v>
      </x:c>
      <x:c r="M96" s="3" t="str"/>
      <x:c r="N96" s="11" t="str"/>
      <x:c r="O96" s="11" t="str">
        <x:v>영문 리소스·언어 선택 미구현. EN 지원 빌드 필요.</x:v>
      </x:c>
      <x:c r="P96" s="11" t="str"/>
      <x:c r="Q96" s="12"/>
      <x:c r="R96" s="12"/>
      <x:c r="S96" s="11" t="str"/>
      <x:c r="T96" s="11" t="str"/>
      <x:c r="U96" s="11" t="str"/>
    </x:row>
    <x:row r="97" ht="97.5" customHeight="1">
      <x:c r="A97" s="3" t="str">
        <x:v>TXT-016</x:v>
      </x:c>
      <x:c r="B97" s="3" t="str">
        <x:v>P0</x:v>
      </x:c>
      <x:c r="C97" s="3" t="str">
        <x:v>문구</x:v>
      </x:c>
      <x:c r="D97" s="11" t="str">
        <x:v>미실행</x:v>
      </x:c>
      <x:c r="E97" s="11" t="str">
        <x:v>차단</x:v>
      </x:c>
      <x:c r="F97" s="3" t="str">
        <x:v>공개 범위</x:v>
      </x:c>
      <x:c r="G97" s="3" t="str">
        <x:v>비공개·기기 저장 범위 설명</x:v>
      </x:c>
      <x:c r="H97" s="3" t="str">
        <x:v>KO·EN</x:v>
      </x:c>
      <x:c r="I97" s="3" t="str">
        <x:v>Android APK</x:v>
      </x:c>
      <x:c r="J97" s="3" t="str">
        <x:v>한국어 화면은 현재 빌드. 영문 화면은 언어 기능 적용 빌드에서 별도 실행.
PRIVACY.DEFAULT,PRIVACY.LOCAL</x:v>
      </x:c>
      <x:c r="K97" s="3" t="str">
        <x:v>1. 로그인·원본 여행·이전 기록 확인
2. 공개 기본값과 문구 비교</x:v>
      </x:c>
      <x:c r="L97" s="3" t="str">
        <x:v>기본 비공개와 사용자가 선택하는 공개 범위를 사실대로 안내한다. 기기 전용 기록은 이 기기에서만 볼 수 있다고 설명한다. 안전을 과장하지 않는다.</x:v>
      </x:c>
      <x:c r="M97" s="3" t="str"/>
      <x:c r="N97" s="11" t="str"/>
      <x:c r="O97" s="11" t="str">
        <x:v>영문 리소스·언어 선택 미구현. EN 지원 빌드 필요.</x:v>
      </x:c>
      <x:c r="P97" s="11" t="str"/>
      <x:c r="Q97" s="12"/>
      <x:c r="R97" s="12"/>
      <x:c r="S97" s="11" t="str"/>
      <x:c r="T97" s="11" t="str"/>
      <x:c r="U97" s="11" t="str"/>
    </x:row>
    <x:row r="98" ht="97.5" customHeight="1">
      <x:c r="A98" s="3" t="str">
        <x:v>TXT-017</x:v>
      </x:c>
      <x:c r="B98" s="3" t="str">
        <x:v>P0</x:v>
      </x:c>
      <x:c r="C98" s="3" t="str">
        <x:v>문구</x:v>
      </x:c>
      <x:c r="D98" s="11" t="str">
        <x:v>미실행</x:v>
      </x:c>
      <x:c r="E98" s="11" t="str">
        <x:v>차단</x:v>
      </x:c>
      <x:c r="F98" s="3" t="str">
        <x:v>게시</x:v>
      </x:c>
      <x:c r="G98" s="3" t="str">
        <x:v>공개 전 사용자 선택 안내</x:v>
      </x:c>
      <x:c r="H98" s="3" t="str">
        <x:v>KO·EN</x:v>
      </x:c>
      <x:c r="I98" s="3" t="str">
        <x:v>Android APK</x:v>
      </x:c>
      <x:c r="J98" s="3" t="str">
        <x:v>한국어 화면은 현재 빌드. 영문 화면은 언어 기능 적용 빌드에서 별도 실행.
COMMUNITY.PUBLISH</x:v>
      </x:c>
      <x:c r="K98" s="3" t="str">
        <x:v>1. 선택 게시 폼 열기
2. 일정·사진·금액 선택/제외
3. 게시 CTA와 피드 비교</x:v>
      </x:c>
      <x:c r="L98" s="3" t="str">
        <x:v>무엇을 다른 여행자에게 보여주는지 사전에 알 수 있다. 여행 저장·종료를 자동 공개로 오해하게 하지 않는다. 영수증 원본을 공개 사진으로 약속하지 않는다.</x:v>
      </x:c>
      <x:c r="M98" s="3" t="str"/>
      <x:c r="N98" s="11" t="str"/>
      <x:c r="O98" s="11" t="str">
        <x:v>영문 리소스·언어 선택 미구현. EN 지원 빌드 필요.</x:v>
      </x:c>
      <x:c r="P98" s="11" t="str"/>
      <x:c r="Q98" s="12"/>
      <x:c r="R98" s="12"/>
      <x:c r="S98" s="11" t="str"/>
      <x:c r="T98" s="11" t="str"/>
      <x:c r="U98" s="11" t="str"/>
    </x:row>
    <x:row r="99" ht="97.5" customHeight="1">
      <x:c r="A99" s="3" t="str">
        <x:v>TXT-018</x:v>
      </x:c>
      <x:c r="B99" s="3" t="str">
        <x:v>P1</x:v>
      </x:c>
      <x:c r="C99" s="3" t="str">
        <x:v>문구</x:v>
      </x:c>
      <x:c r="D99" s="11" t="str">
        <x:v>미실행</x:v>
      </x:c>
      <x:c r="E99" s="11" t="str">
        <x:v>차단</x:v>
      </x:c>
      <x:c r="F99" s="3" t="str">
        <x:v>동행</x:v>
      </x:c>
      <x:c r="G99" s="3" t="str">
        <x:v>초대와 보기·편집 역할 설명</x:v>
      </x:c>
      <x:c r="H99" s="3" t="str">
        <x:v>KO·EN</x:v>
      </x:c>
      <x:c r="I99" s="3" t="str">
        <x:v>Android APK</x:v>
      </x:c>
      <x:c r="J99" s="3" t="str">
        <x:v>한국어 화면은 현재 빌드. 영문 화면은 언어 기능 적용 빌드에서 별도 실행.
INVITE.JOIN</x:v>
      </x:c>
      <x:c r="K99" s="3" t="str">
        <x:v>1. 소유자·보기·편집 계정으로 초대 화면 확인
2. 실제 참여·변경 가능 행동 비교</x:v>
      </x:c>
      <x:c r="L99" s="3" t="str">
        <x:v>보거나 함께 편집할 수 있는 범위를 사용자에게 설명한다. 초대 URL을 여는 것만으로 참여 완료라고 하지 않는다. 내부 viewer/editor 코드만으로 안내하지 않는다.</x:v>
      </x:c>
      <x:c r="M99" s="3" t="str"/>
      <x:c r="N99" s="11" t="str"/>
      <x:c r="O99" s="11" t="str">
        <x:v>영문 리소스·언어 선택 미구현. EN 지원 빌드 필요.</x:v>
      </x:c>
      <x:c r="P99" s="11" t="str"/>
      <x:c r="Q99" s="12"/>
      <x:c r="R99" s="12"/>
      <x:c r="S99" s="11" t="str"/>
      <x:c r="T99" s="11" t="str"/>
      <x:c r="U99" s="11" t="str"/>
    </x:row>
    <x:row r="100" ht="97.5" customHeight="1">
      <x:c r="A100" s="3" t="str">
        <x:v>TXT-019</x:v>
      </x:c>
      <x:c r="B100" s="3" t="str">
        <x:v>P1</x:v>
      </x:c>
      <x:c r="C100" s="3" t="str">
        <x:v>문구</x:v>
      </x:c>
      <x:c r="D100" s="11" t="str">
        <x:v>미실행</x:v>
      </x:c>
      <x:c r="E100" s="11" t="str">
        <x:v>차단</x:v>
      </x:c>
      <x:c r="F100" s="3" t="str">
        <x:v>지도</x:v>
      </x:c>
      <x:c r="G100" s="3" t="str">
        <x:v>검색·외부 지도·공유 범위 설명</x:v>
      </x:c>
      <x:c r="H100" s="3" t="str">
        <x:v>KO·EN</x:v>
      </x:c>
      <x:c r="I100" s="3" t="str">
        <x:v>Android APK</x:v>
      </x:c>
      <x:c r="J100" s="3" t="str">
        <x:v>한국어 화면은 현재 빌드. 영문 화면은 언어 기능 적용 빌드에서 별도 실행.
MAP.IMPORT,MAP.ERROR,MAP.OPEN</x:v>
      </x:c>
      <x:c r="K100" s="3" t="str">
        <x:v>1. 검색·외부 지도·단일 링크 가져오기
2. 실패 안내 확인</x:v>
      </x:c>
      <x:c r="L100" s="3" t="str">
        <x:v>Google Maps 열기는 외부 지도 이동, 단일 공유 링크 가져오기는 장소 확인 후 등록으로 설명한다. 전체 즐겨찾기 자동 동기화나 앱 내 동선 지도가 구현된 것처럼 안내하지 않는다. 연결 안 된 검색은 실제 복구 행동을 제공한다.</x:v>
      </x:c>
      <x:c r="M100" s="3" t="str"/>
      <x:c r="N100" s="11" t="str"/>
      <x:c r="O100" s="11" t="str">
        <x:v>영문 리소스·언어 선택 미구현. EN 지원 빌드 필요.</x:v>
      </x:c>
      <x:c r="P100" s="11" t="str"/>
      <x:c r="Q100" s="12"/>
      <x:c r="R100" s="12"/>
      <x:c r="S100" s="11" t="str"/>
      <x:c r="T100" s="11" t="str"/>
      <x:c r="U100" s="11" t="str"/>
    </x:row>
    <x:row r="101" ht="97.5" customHeight="1">
      <x:c r="A101" s="3" t="str">
        <x:v>TXT-020</x:v>
      </x:c>
      <x:c r="B101" s="3" t="str">
        <x:v>P1</x:v>
      </x:c>
      <x:c r="C101" s="3" t="str">
        <x:v>문구</x:v>
      </x:c>
      <x:c r="D101" s="11" t="str">
        <x:v>미실행</x:v>
      </x:c>
      <x:c r="E101" s="11" t="str">
        <x:v>차단</x:v>
      </x:c>
      <x:c r="F101" s="3" t="str">
        <x:v>하루</x:v>
      </x:c>
      <x:c r="G101" s="3" t="str">
        <x:v>서비스의 말투와 마스코트 안내</x:v>
      </x:c>
      <x:c r="H101" s="3" t="str">
        <x:v>KO·EN</x:v>
      </x:c>
      <x:c r="I101" s="3" t="str">
        <x:v>Android APK</x:v>
      </x:c>
      <x:c r="J101" s="3" t="str">
        <x:v>한국어 화면은 현재 빌드. 영문 화면은 언어 기능 적용 빌드에서 별도 실행.
HARU.RELOAD,HARU.HOME</x:v>
      </x:c>
      <x:c r="K101" s="3" t="str">
        <x:v>1. 대기·실패·빈 기록에서 하루와 설명 확인
2. 다음 행동 선택</x:v>
      </x:c>
      <x:c r="L101" s="3" t="str">
        <x:v>하루는 상태와 행동을 설명하고 여행을 돕는다. 사용자 탓·과한 장난·보장하지 않은 성공·가짜 진행률을 표현하지 않는다.</x:v>
      </x:c>
      <x:c r="M101" s="3" t="str"/>
      <x:c r="N101" s="11" t="str"/>
      <x:c r="O101" s="11" t="str">
        <x:v>영문 리소스·언어 선택 미구현. EN 지원 빌드 필요.</x:v>
      </x:c>
      <x:c r="P101" s="11" t="str"/>
      <x:c r="Q101" s="12"/>
      <x:c r="R101" s="12"/>
      <x:c r="S101" s="11" t="str"/>
      <x:c r="T101" s="11" t="str"/>
      <x:c r="U101" s="11" t="str"/>
    </x:row>
    <x:row r="102" ht="97.5" customHeight="1">
      <x:c r="A102" s="3" t="str">
        <x:v>TXT-021</x:v>
      </x:c>
      <x:c r="B102" s="3" t="str">
        <x:v>P1</x:v>
      </x:c>
      <x:c r="C102" s="3" t="str">
        <x:v>문구</x:v>
      </x:c>
      <x:c r="D102" s="11" t="str">
        <x:v>미실행</x:v>
      </x:c>
      <x:c r="E102" s="11" t="str">
        <x:v>차단</x:v>
      </x:c>
      <x:c r="F102" s="3" t="str">
        <x:v>작은 화면</x:v>
      </x:c>
      <x:c r="G102" s="3" t="str">
        <x:v>줄바꿈·말줄임·버튼 글자</x:v>
      </x:c>
      <x:c r="H102" s="3" t="str">
        <x:v>KO·EN</x:v>
      </x:c>
      <x:c r="I102" s="3" t="str">
        <x:v>Android APK</x:v>
      </x:c>
      <x:c r="J102" s="3" t="str">
        <x:v>한국어 화면은 현재 빌드. 영문 화면은 언어 기능 적용 빌드에서 별도 실행.
TD-06 긴 문자열</x:v>
      </x:c>
      <x:c r="K102" s="3" t="str">
        <x:v>1. 320/360/390dp에서 모든 제목·버튼 확인
2. 긴 여행명·영문 문구 표시</x:v>
      </x:c>
      <x:c r="L102" s="3" t="str">
        <x:v>핵심 의미와 버튼 행동이 잘리거나 겹치지 않는다. 가격·날짜·문구의 조사만 다음 줄에 고립되지 않고 필요한 본문을 읽을 수 있다.</x:v>
      </x:c>
      <x:c r="M102" s="3" t="str"/>
      <x:c r="N102" s="11" t="str"/>
      <x:c r="O102" s="11" t="str">
        <x:v>영문 리소스·언어 선택 미구현. EN 지원 빌드 필요.</x:v>
      </x:c>
      <x:c r="P102" s="11" t="str"/>
      <x:c r="Q102" s="12"/>
      <x:c r="R102" s="12"/>
      <x:c r="S102" s="11" t="str"/>
      <x:c r="T102" s="11" t="str"/>
      <x:c r="U102" s="11" t="str"/>
    </x:row>
    <x:row r="103" ht="97.5" customHeight="1">
      <x:c r="A103" s="3" t="str">
        <x:v>TXT-022</x:v>
      </x:c>
      <x:c r="B103" s="3" t="str">
        <x:v>P1</x:v>
      </x:c>
      <x:c r="C103" s="3" t="str">
        <x:v>문구</x:v>
      </x:c>
      <x:c r="D103" s="11" t="str">
        <x:v>미실행</x:v>
      </x:c>
      <x:c r="E103" s="11" t="str">
        <x:v>차단</x:v>
      </x:c>
      <x:c r="F103" s="3" t="str">
        <x:v>접근성</x:v>
      </x:c>
      <x:c r="G103" s="3" t="str">
        <x:v>읽어주는 텍스트도 고객 문구</x:v>
      </x:c>
      <x:c r="H103" s="3" t="str">
        <x:v>KO·EN</x:v>
      </x:c>
      <x:c r="I103" s="3" t="str">
        <x:v>Android APK</x:v>
      </x:c>
      <x:c r="J103" s="3" t="str">
        <x:v>한국어 화면은 현재 빌드. 영문 화면은 언어 기능 적용 빌드에서 별도 실행.
TERM.HARU</x:v>
      </x:c>
      <x:c r="K103" s="3" t="str">
        <x:v>1. TalkBack 또는 VoiceOver로 주요 화면 탐색
2. 아이콘 버튼·입력·오류·하루 읽기</x:v>
      </x:c>
      <x:c r="L103" s="3" t="str">
        <x:v>접근성 이름이 버튼 기능·입력 항목·상태를 설명한다. asset 파일명·개발 키·미번역 문자열을 읽지 않는다. 중복 읽기가 심하지 않다.</x:v>
      </x:c>
      <x:c r="M103" s="3" t="str"/>
      <x:c r="N103" s="11" t="str"/>
      <x:c r="O103" s="11" t="str">
        <x:v>영문 리소스·언어 선택 미구현. EN 지원 빌드 필요.</x:v>
      </x:c>
      <x:c r="P103" s="11" t="str"/>
      <x:c r="Q103" s="12"/>
      <x:c r="R103" s="12"/>
      <x:c r="S103" s="11" t="str"/>
      <x:c r="T103" s="11" t="str"/>
      <x:c r="U103" s="11" t="str"/>
    </x:row>
    <x:row r="104" ht="97.5" customHeight="1">
      <x:c r="A104" s="3" t="str">
        <x:v>TXT-023</x:v>
      </x:c>
      <x:c r="B104" s="3" t="str">
        <x:v>P1</x:v>
      </x:c>
      <x:c r="C104" s="3" t="str">
        <x:v>문구</x:v>
      </x:c>
      <x:c r="D104" s="11" t="str">
        <x:v>미실행</x:v>
      </x:c>
      <x:c r="E104" s="11" t="str">
        <x:v>차단</x:v>
      </x:c>
      <x:c r="F104" s="3" t="str">
        <x:v>사용자 입력</x:v>
      </x:c>
      <x:c r="G104" s="3" t="str">
        <x:v>표시·탈출·긴 문장 보존</x:v>
      </x:c>
      <x:c r="H104" s="3" t="str">
        <x:v>KO·EN</x:v>
      </x:c>
      <x:c r="I104" s="3" t="str">
        <x:v>Android APK</x:v>
      </x:c>
      <x:c r="J104" s="3" t="str">
        <x:v>한국어 화면은 현재 빌드. 영문 화면은 언어 기능 적용 빌드에서 별도 실행.
TD-06 Unicode·긴 문자열</x:v>
      </x:c>
      <x:c r="K104" s="3" t="str">
        <x:v>1. TD-06 여행명·닉네임·소개·메모 입력
2. 게시·다이어리·검색에서 확인</x:v>
      </x:c>
      <x:c r="L104" s="3" t="str">
        <x:v>사용자 입력이 코드나 HTML로 실행되지 않는다. 이모지·악센트·일본어를 깨뜨리지 않고 가독성 있게 표시한다. 핵심 원문은 임의 번역·삭제하지 않는다.</x:v>
      </x:c>
      <x:c r="M104" s="3" t="str"/>
      <x:c r="N104" s="11" t="str"/>
      <x:c r="O104" s="11" t="str">
        <x:v>영문 리소스·언어 선택 미구현. EN 지원 빌드 필요.</x:v>
      </x:c>
      <x:c r="P104" s="11" t="str"/>
      <x:c r="Q104" s="12"/>
      <x:c r="R104" s="12"/>
      <x:c r="S104" s="11" t="str"/>
      <x:c r="T104" s="11" t="str"/>
      <x:c r="U104" s="11" t="str"/>
    </x:row>
    <x:row r="105" ht="97.5" customHeight="1">
      <x:c r="A105" s="3" t="str">
        <x:v>TXT-024</x:v>
      </x:c>
      <x:c r="B105" s="3" t="str">
        <x:v>P1</x:v>
      </x:c>
      <x:c r="C105" s="3" t="str">
        <x:v>문구</x:v>
      </x:c>
      <x:c r="D105" s="11" t="str">
        <x:v>미실행</x:v>
      </x:c>
      <x:c r="E105" s="11" t="str">
        <x:v>차단</x:v>
      </x:c>
      <x:c r="F105" s="3" t="str">
        <x:v>권한</x:v>
      </x:c>
      <x:c r="G105" s="3" t="str">
        <x:v>촬영·사진 권한 설명</x:v>
      </x:c>
      <x:c r="H105" s="3" t="str">
        <x:v>KO·EN</x:v>
      </x:c>
      <x:c r="I105" s="3" t="str">
        <x:v>Android APK</x:v>
      </x:c>
      <x:c r="J105" s="3" t="str">
        <x:v>한국어 화면은 현재 빌드. 영문 화면은 언어 기능 적용 빌드에서 별도 실행.
NATIVE.CAMERA,NATIVE.PHOTOS</x:v>
      </x:c>
      <x:c r="K105" s="3" t="str">
        <x:v>1. 최초 권한 요청과 거부 상태 확인
2. 앨범 선택·촬영·설정 복귀</x:v>
      </x:c>
      <x:c r="L105" s="3" t="str">
        <x:v>여행 사진·영수증 선택/촬영 목적을 설명한다. 필요하지 않은 마이크·위치 권한을 요구하는 문구나 범용 개발 안내가 없다.</x:v>
      </x:c>
      <x:c r="M105" s="3" t="str"/>
      <x:c r="N105" s="11" t="str"/>
      <x:c r="O105" s="11" t="str">
        <x:v>영문 리소스·언어 선택 미구현. EN 지원 빌드 필요.</x:v>
      </x:c>
      <x:c r="P105" s="11" t="str"/>
      <x:c r="Q105" s="12"/>
      <x:c r="R105" s="12"/>
      <x:c r="S105" s="11" t="str"/>
      <x:c r="T105" s="11" t="str"/>
      <x:c r="U105" s="11" t="str"/>
    </x:row>
    <x:row r="106" ht="97.5" customHeight="1">
      <x:c r="A106" s="3" t="str">
        <x:v>TXT-025</x:v>
      </x:c>
      <x:c r="B106" s="3" t="str">
        <x:v>P1</x:v>
      </x:c>
      <x:c r="C106" s="3" t="str">
        <x:v>문구</x:v>
      </x:c>
      <x:c r="D106" s="11" t="str">
        <x:v>미실행</x:v>
      </x:c>
      <x:c r="E106" s="11" t="str">
        <x:v>차단</x:v>
      </x:c>
      <x:c r="F106" s="3" t="str">
        <x:v>가독성</x:v>
      </x:c>
      <x:c r="G106" s="3" t="str">
        <x:v>큰 글씨와 화면 키보드</x:v>
      </x:c>
      <x:c r="H106" s="3" t="str">
        <x:v>KO·EN</x:v>
      </x:c>
      <x:c r="I106" s="3" t="str">
        <x:v>Android APK</x:v>
      </x:c>
      <x:c r="J106" s="3" t="str">
        <x:v>한국어 화면은 현재 빌드. 영문 화면은 언어 기능 적용 빌드에서 별도 실행.
TD-07 기기 크기·글자 크기</x:v>
      </x:c>
      <x:c r="K106" s="3" t="str">
        <x:v>1. 글자 크기 100%·200% 적용
2. 폼 키보드 열기
3. 오류·하단 안내·저장 버튼 확인</x:v>
      </x:c>
      <x:c r="L106" s="3" t="str">
        <x:v>입력·핵심 설명·오류·CTA를 스크롤로 읽고 조작할 수 있다. 작게 고정된 문구로 중요한 공개 범위나 결제 정보가 읽히지 않는 문제가 없다.</x:v>
      </x:c>
      <x:c r="M106" s="3" t="str"/>
      <x:c r="N106" s="11" t="str"/>
      <x:c r="O106" s="11" t="str">
        <x:v>영문 리소스·언어 선택 미구현. EN 지원 빌드 필요.</x:v>
      </x:c>
      <x:c r="P106" s="11" t="str"/>
      <x:c r="Q106" s="12"/>
      <x:c r="R106" s="12"/>
      <x:c r="S106" s="11" t="str"/>
      <x:c r="T106" s="11" t="str"/>
      <x:c r="U106" s="11" t="str"/>
    </x:row>
    <x:row r="107" ht="97.5" customHeight="1">
      <x:c r="A107" s="3" t="str">
        <x:v>TXT-026</x:v>
      </x:c>
      <x:c r="B107" s="3" t="str">
        <x:v>P0</x:v>
      </x:c>
      <x:c r="C107" s="3" t="str">
        <x:v>문구</x:v>
      </x:c>
      <x:c r="D107" s="11" t="str">
        <x:v>미실행</x:v>
      </x:c>
      <x:c r="E107" s="11" t="str">
        <x:v>차단</x:v>
      </x:c>
      <x:c r="F107" s="3" t="str">
        <x:v>전체 문구</x:v>
      </x:c>
      <x:c r="G107" s="3" t="str">
        <x:v>오탈자·빈 번역·템플릿 잔여</x:v>
      </x:c>
      <x:c r="H107" s="3" t="str">
        <x:v>KO·EN</x:v>
      </x:c>
      <x:c r="I107" s="3" t="str">
        <x:v>Android APK</x:v>
      </x:c>
      <x:c r="J107" s="3" t="str">
        <x:v>한국어 화면은 현재 빌드. 영문 화면은 언어 기능 적용 빌드에서 별도 실행.
전체 문구 기준</x:v>
      </x:c>
      <x:c r="K107" s="3" t="str">
        <x:v>1. 39개 화면의 정상·빈·오류·저장 상태 확인
2. 문구 기준과 변수 값 비교</x:v>
      </x:c>
      <x:c r="L107" s="3" t="str">
        <x:v>맞춤법·띄어쓰기·브랜드 표기를 일관되게 사용한다. undefined/null/[object Object]/번역 key/{name} 등의 잔여 문구와 빈 CTA가 없다. 개발용 샘플을 실제 기록으로 속이지 않는다.</x:v>
      </x:c>
      <x:c r="M107" s="3" t="str"/>
      <x:c r="N107" s="11" t="str"/>
      <x:c r="O107" s="11" t="str">
        <x:v>영문 리소스·언어 선택 미구현. EN 지원 빌드 필요.</x:v>
      </x:c>
      <x:c r="P107" s="11" t="str"/>
      <x:c r="Q107" s="12"/>
      <x:c r="R107" s="12"/>
      <x:c r="S107" s="11" t="str"/>
      <x:c r="T107" s="11" t="str"/>
      <x:c r="U107" s="11" t="str"/>
    </x:row>
    <x:row r="108" ht="97.5" customHeight="1">
      <x:c r="A108" s="3" t="str">
        <x:v>EN-001</x:v>
      </x:c>
      <x:c r="B108" s="3" t="str">
        <x:v>P0</x:v>
      </x:c>
      <x:c r="C108" s="3" t="str">
        <x:v>영문</x:v>
      </x:c>
      <x:c r="D108" s="11" t="str">
        <x:v>N/A</x:v>
      </x:c>
      <x:c r="E108" s="11" t="str">
        <x:v>차단</x:v>
      </x:c>
      <x:c r="F108" s="3" t="str">
        <x:v>언어 선택</x:v>
      </x:c>
      <x:c r="G108" s="3" t="str">
        <x:v>영문 기기 첫 실행</x:v>
      </x:c>
      <x:c r="H108" s="3" t="str">
        <x:v>EN</x:v>
      </x:c>
      <x:c r="I108" s="3" t="str">
        <x:v>Android APK</x:v>
      </x:c>
      <x:c r="J108" s="3" t="str">
        <x:v>KO/EN 리소스와 언어 선택 기능을 적용한 빌드. 테스트데이터의 언어 기본안을 기준으로 실행.
TD-07·TD-10. 현재 한국어 직접 작성·언어 전환 미구현. 영문 출시 전 실행.</x:v>
      </x:c>
      <x:c r="K108" s="3" t="str">
        <x:v>1. 앱 데이터 없는 en-US 기기에서 실행
2. 홈·로그인과 기본 언어 확인</x:v>
      </x:c>
      <x:c r="L108" s="3" t="str">
        <x:v>영문을 기본 표시한다. 첫 홈부터 영어로 여행 시작 목적과 실제 로그인 방법을 안내한다.</x:v>
      </x:c>
      <x:c r="M108" s="3" t="str"/>
      <x:c r="N108" s="11" t="str"/>
      <x:c r="O108" s="11" t="str">
        <x:v>영문 리소스·언어 선택 미구현. EN 지원 빌드 필요.</x:v>
      </x:c>
      <x:c r="P108" s="11" t="str"/>
      <x:c r="Q108" s="12"/>
      <x:c r="R108" s="12"/>
      <x:c r="S108" s="11" t="str"/>
      <x:c r="T108" s="11" t="str"/>
      <x:c r="U108" s="11" t="str"/>
    </x:row>
    <x:row r="109" ht="97.5" customHeight="1">
      <x:c r="A109" s="3" t="str">
        <x:v>EN-002</x:v>
      </x:c>
      <x:c r="B109" s="3" t="str">
        <x:v>P0</x:v>
      </x:c>
      <x:c r="C109" s="3" t="str">
        <x:v>영문</x:v>
      </x:c>
      <x:c r="D109" s="11" t="str">
        <x:v>N/A</x:v>
      </x:c>
      <x:c r="E109" s="11" t="str">
        <x:v>차단</x:v>
      </x:c>
      <x:c r="F109" s="3" t="str">
        <x:v>언어 선택</x:v>
      </x:c>
      <x:c r="G109" s="3" t="str">
        <x:v>한국어 기기 첫 실행</x:v>
      </x:c>
      <x:c r="H109" s="3" t="str">
        <x:v>EN</x:v>
      </x:c>
      <x:c r="I109" s="3" t="str">
        <x:v>Android APK</x:v>
      </x:c>
      <x:c r="J109" s="3" t="str">
        <x:v>KO/EN 리소스와 언어 선택 기능을 적용한 빌드. 테스트데이터의 언어 기본안을 기준으로 실행.
TD-07·TD-10. 현재 한국어 직접 작성·언어 전환 미구현. 영문 출시 전 실행.</x:v>
      </x:c>
      <x:c r="K109" s="3" t="str">
        <x:v>1. 앱 데이터 없는 ko-KR 기기에서 실행
2. 한국어 홈·로그인 확인</x:v>
      </x:c>
      <x:c r="L109" s="3" t="str">
        <x:v>한국어를 기본 표시한다. 영문 리소스 추가로 기존 한국어 화면·가입·저장 기능이 깨지지 않는다.</x:v>
      </x:c>
      <x:c r="M109" s="3" t="str"/>
      <x:c r="N109" s="11" t="str"/>
      <x:c r="O109" s="11" t="str">
        <x:v>영문 리소스·언어 선택 미구현. EN 지원 빌드 필요.</x:v>
      </x:c>
      <x:c r="P109" s="11" t="str"/>
      <x:c r="Q109" s="12"/>
      <x:c r="R109" s="12"/>
      <x:c r="S109" s="11" t="str"/>
      <x:c r="T109" s="11" t="str"/>
      <x:c r="U109" s="11" t="str"/>
    </x:row>
    <x:row r="110" ht="97.5" customHeight="1">
      <x:c r="A110" s="3" t="str">
        <x:v>EN-003</x:v>
      </x:c>
      <x:c r="B110" s="3" t="str">
        <x:v>P0</x:v>
      </x:c>
      <x:c r="C110" s="3" t="str">
        <x:v>영문</x:v>
      </x:c>
      <x:c r="D110" s="11" t="str">
        <x:v>N/A</x:v>
      </x:c>
      <x:c r="E110" s="11" t="str">
        <x:v>차단</x:v>
      </x:c>
      <x:c r="F110" s="3" t="str">
        <x:v>언어 선택</x:v>
      </x:c>
      <x:c r="G110" s="3" t="str">
        <x:v>수동 선택과 재실행 유지</x:v>
      </x:c>
      <x:c r="H110" s="3" t="str">
        <x:v>EN</x:v>
      </x:c>
      <x:c r="I110" s="3" t="str">
        <x:v>Android APK</x:v>
      </x:c>
      <x:c r="J110" s="3" t="str">
        <x:v>KO/EN 리소스와 언어 선택 기능을 적용한 빌드. 테스트데이터의 언어 기본안을 기준으로 실행.
TD-07·TD-10. 현재 한국어 직접 작성·언어 전환 미구현. 영문 출시 전 실행.</x:v>
      </x:c>
      <x:c r="K110" s="3" t="str">
        <x:v>1. 한국어에서 English 선택
2. 앱 종료·재실행
3. 한국어로 복원 후 재실행</x:v>
      </x:c>
      <x:c r="L110" s="3" t="str">
        <x:v>사용자가 선택한 언어를 자동 감지보다 우선하고 재실행 후 유지한다. 전환에 재가입을 요구하지 않는다.</x:v>
      </x:c>
      <x:c r="M110" s="3" t="str"/>
      <x:c r="N110" s="11" t="str"/>
      <x:c r="O110" s="11" t="str">
        <x:v>영문 리소스·언어 선택 미구현. EN 지원 빌드 필요.</x:v>
      </x:c>
      <x:c r="P110" s="11" t="str"/>
      <x:c r="Q110" s="12"/>
      <x:c r="R110" s="12"/>
      <x:c r="S110" s="11" t="str"/>
      <x:c r="T110" s="11" t="str"/>
      <x:c r="U110" s="11" t="str"/>
    </x:row>
    <x:row r="111" ht="97.5" customHeight="1">
      <x:c r="A111" s="3" t="str">
        <x:v>EN-004</x:v>
      </x:c>
      <x:c r="B111" s="3" t="str">
        <x:v>P0</x:v>
      </x:c>
      <x:c r="C111" s="3" t="str">
        <x:v>영문</x:v>
      </x:c>
      <x:c r="D111" s="11" t="str">
        <x:v>N/A</x:v>
      </x:c>
      <x:c r="E111" s="11" t="str">
        <x:v>차단</x:v>
      </x:c>
      <x:c r="F111" s="3" t="str">
        <x:v>언어 선택</x:v>
      </x:c>
      <x:c r="G111" s="3" t="str">
        <x:v>작성 중 언어 전환</x:v>
      </x:c>
      <x:c r="H111" s="3" t="str">
        <x:v>EN</x:v>
      </x:c>
      <x:c r="I111" s="3" t="str">
        <x:v>Android APK</x:v>
      </x:c>
      <x:c r="J111" s="3" t="str">
        <x:v>KO/EN 리소스와 언어 선택 기능을 적용한 빌드. 테스트데이터의 언어 기본안을 기준으로 실행.
TD-07·TD-10. 현재 한국어 직접 작성·언어 전환 미구현. 영문 출시 전 실행.</x:v>
      </x:c>
      <x:c r="K111" s="3" t="str">
        <x:v>1. 여행·일정·영수증 폼 작성
2. 언어 변경 후 내용 비교
3. 저장·재조회</x:v>
      </x:c>
      <x:c r="L111" s="3" t="str">
        <x:v>문구만 바뀌고 입력·인식 후보·선택 DAY·금액·로그인을 잃지 않는다. 같은 기록을 중복 생성하지 않는다.</x:v>
      </x:c>
      <x:c r="M111" s="3" t="str"/>
      <x:c r="N111" s="11" t="str"/>
      <x:c r="O111" s="11" t="str">
        <x:v>영문 리소스·언어 선택 미구현. EN 지원 빌드 필요.</x:v>
      </x:c>
      <x:c r="P111" s="11" t="str"/>
      <x:c r="Q111" s="12"/>
      <x:c r="R111" s="12"/>
      <x:c r="S111" s="11" t="str"/>
      <x:c r="T111" s="11" t="str"/>
      <x:c r="U111" s="11" t="str"/>
    </x:row>
    <x:row r="112" ht="97.5" customHeight="1">
      <x:c r="A112" s="3" t="str">
        <x:v>EN-005</x:v>
      </x:c>
      <x:c r="B112" s="3" t="str">
        <x:v>P1</x:v>
      </x:c>
      <x:c r="C112" s="3" t="str">
        <x:v>영문</x:v>
      </x:c>
      <x:c r="D112" s="11" t="str">
        <x:v>N/A</x:v>
      </x:c>
      <x:c r="E112" s="11" t="str">
        <x:v>차단</x:v>
      </x:c>
      <x:c r="F112" s="3" t="str">
        <x:v>언어 선택</x:v>
      </x:c>
      <x:c r="G112" s="3" t="str">
        <x:v>게스트·계정 전환의 언어 유지</x:v>
      </x:c>
      <x:c r="H112" s="3" t="str">
        <x:v>EN</x:v>
      </x:c>
      <x:c r="I112" s="3" t="str">
        <x:v>Android APK</x:v>
      </x:c>
      <x:c r="J112" s="3" t="str">
        <x:v>KO/EN 리소스와 언어 선택 기능을 적용한 빌드. 테스트데이터의 언어 기본안을 기준으로 실행.
TD-07·TD-10. 현재 한국어 직접 작성·언어 전환 미구현. 영문 출시 전 실행.</x:v>
      </x:c>
      <x:c r="K112" s="3" t="str">
        <x:v>1. 게스트에서 English 선택
2. A 로그인·로그아웃·B 로그인
3. 각 화면 확인</x:v>
      </x:c>
      <x:c r="L112" s="3" t="str">
        <x:v>선택 언어를 일관되게 유지한다. 계정 전환에서 다른 회원의 개인정보가 언어 설정과 함께 복원되지 않는다.</x:v>
      </x:c>
      <x:c r="M112" s="3" t="str"/>
      <x:c r="N112" s="11" t="str"/>
      <x:c r="O112" s="11" t="str">
        <x:v>영문 리소스·언어 선택 미구현. EN 지원 빌드 필요.</x:v>
      </x:c>
      <x:c r="P112" s="11" t="str"/>
      <x:c r="Q112" s="12"/>
      <x:c r="R112" s="12"/>
      <x:c r="S112" s="11" t="str"/>
      <x:c r="T112" s="11" t="str"/>
      <x:c r="U112" s="11" t="str"/>
    </x:row>
    <x:row r="113" ht="97.5" customHeight="1">
      <x:c r="A113" s="3" t="str">
        <x:v>EN-006</x:v>
      </x:c>
      <x:c r="B113" s="3" t="str">
        <x:v>P1</x:v>
      </x:c>
      <x:c r="C113" s="3" t="str">
        <x:v>영문</x:v>
      </x:c>
      <x:c r="D113" s="11" t="str">
        <x:v>N/A</x:v>
      </x:c>
      <x:c r="E113" s="11" t="str">
        <x:v>차단</x:v>
      </x:c>
      <x:c r="F113" s="3" t="str">
        <x:v>언어 선택</x:v>
      </x:c>
      <x:c r="G113" s="3" t="str">
        <x:v>미지원 언어의 기본 표시</x:v>
      </x:c>
      <x:c r="H113" s="3" t="str">
        <x:v>EN</x:v>
      </x:c>
      <x:c r="I113" s="3" t="str">
        <x:v>Android APK</x:v>
      </x:c>
      <x:c r="J113" s="3" t="str">
        <x:v>KO/EN 리소스와 언어 선택 기능을 적용한 빌드. 테스트데이터의 언어 기본안을 기준으로 실행.
TD-07·TD-10. 현재 한국어 직접 작성·언어 전환 미구현. 영문 출시 전 실행.</x:v>
      </x:c>
      <x:c r="K113" s="3" t="str">
        <x:v>1. 일본어·프랑스어 시스템으로 최초 실행
2. 앱에서 한국어 수동 선택</x:v>
      </x:c>
      <x:c r="L113" s="3" t="str">
        <x:v>KO/EN 외 시스템 언어는 기본안인 English로 표시한다. 빈 문자열·리소스 key 없이 표시하고 사용자가 한국어를 선택할 수 있다.</x:v>
      </x:c>
      <x:c r="M113" s="3" t="str"/>
      <x:c r="N113" s="11" t="str"/>
      <x:c r="O113" s="11" t="str">
        <x:v>영문 리소스·언어 선택 미구현. EN 지원 빌드 필요.</x:v>
      </x:c>
      <x:c r="P113" s="11" t="str"/>
      <x:c r="Q113" s="12"/>
      <x:c r="R113" s="12"/>
      <x:c r="S113" s="11" t="str"/>
      <x:c r="T113" s="11" t="str"/>
      <x:c r="U113" s="11" t="str"/>
    </x:row>
    <x:row r="114" ht="97.5" customHeight="1">
      <x:c r="A114" s="3" t="str">
        <x:v>EN-007</x:v>
      </x:c>
      <x:c r="B114" s="3" t="str">
        <x:v>P0</x:v>
      </x:c>
      <x:c r="C114" s="3" t="str">
        <x:v>영문</x:v>
      </x:c>
      <x:c r="D114" s="11" t="str">
        <x:v>N/A</x:v>
      </x:c>
      <x:c r="E114" s="11" t="str">
        <x:v>차단</x:v>
      </x:c>
      <x:c r="F114" s="3" t="str">
        <x:v>전체 페이지</x:v>
      </x:c>
      <x:c r="G114" s="3" t="str">
        <x:v>12개 주요 페이지 영문 표시</x:v>
      </x:c>
      <x:c r="H114" s="3" t="str">
        <x:v>EN</x:v>
      </x:c>
      <x:c r="I114" s="3" t="str">
        <x:v>Android APK</x:v>
      </x:c>
      <x:c r="J114" s="3" t="str">
        <x:v>KO/EN 리소스와 언어 선택 기능을 적용한 빌드. 테스트데이터의 언어 기본안을 기준으로 실행.
TD-07·TD-10. 현재 한국어 직접 작성·언어 전환 미구현. 영문 출시 전 실행.</x:v>
      </x:c>
      <x:c r="K114" s="3" t="str">
        <x:v>1. 홈·로그인·내 여행·새 여행·상세·발자국·다이어리·커뮤니티·마이·초대·장소 가져오기·이전 기록 순회</x:v>
      </x:c>
      <x:c r="L114" s="3" t="str">
        <x:v>모든 서비스 제목·본문·탭·버튼이 영어다. 사용자 입력·장소 원문·브랜드·공항 코드·Google 출처는 원문 유지가 허용된다.</x:v>
      </x:c>
      <x:c r="M114" s="3" t="str"/>
      <x:c r="N114" s="11" t="str"/>
      <x:c r="O114" s="11" t="str">
        <x:v>영문 리소스·언어 선택 미구현. EN 지원 빌드 필요.</x:v>
      </x:c>
      <x:c r="P114" s="11" t="str"/>
      <x:c r="Q114" s="12"/>
      <x:c r="R114" s="12"/>
      <x:c r="S114" s="11" t="str"/>
      <x:c r="T114" s="11" t="str"/>
      <x:c r="U114" s="11" t="str"/>
    </x:row>
    <x:row r="115" ht="97.5" customHeight="1">
      <x:c r="A115" s="3" t="str">
        <x:v>EN-008</x:v>
      </x:c>
      <x:c r="B115" s="3" t="str">
        <x:v>P0</x:v>
      </x:c>
      <x:c r="C115" s="3" t="str">
        <x:v>영문</x:v>
      </x:c>
      <x:c r="D115" s="11" t="str">
        <x:v>N/A</x:v>
      </x:c>
      <x:c r="E115" s="11" t="str">
        <x:v>차단</x:v>
      </x:c>
      <x:c r="F115" s="3" t="str">
        <x:v>작성 폼</x:v>
      </x:c>
      <x:c r="G115" s="3" t="str">
        <x:v>폼·메뉴·달력·확인창 영문 표시</x:v>
      </x:c>
      <x:c r="H115" s="3" t="str">
        <x:v>EN</x:v>
      </x:c>
      <x:c r="I115" s="3" t="str">
        <x:v>Android APK</x:v>
      </x:c>
      <x:c r="J115" s="3" t="str">
        <x:v>KO/EN 리소스와 언어 선택 기능을 적용한 빌드. 테스트데이터의 언어 기본안을 기준으로 실행.
TD-07·TD-10. 현재 한국어 직접 작성·언어 전환 미구현. 영문 출시 전 실행.</x:v>
      </x:c>
      <x:c r="K115" s="3" t="str">
        <x:v>1. 가입·프로필·일정·비용·기간·게시·영수증 수정 폼 열기
2. 달력·시간·삭제 확인창 검사</x:v>
      </x:c>
      <x:c r="L115" s="3" t="str">
        <x:v>폼 label·placeholder·선택 옵션·입력 오류·확인창도 영어다. 화면 일부만 번역한 혼합 UI가 없다.</x:v>
      </x:c>
      <x:c r="M115" s="3" t="str"/>
      <x:c r="N115" s="11" t="str"/>
      <x:c r="O115" s="11" t="str">
        <x:v>영문 리소스·언어 선택 미구현. EN 지원 빌드 필요.</x:v>
      </x:c>
      <x:c r="P115" s="11" t="str"/>
      <x:c r="Q115" s="12"/>
      <x:c r="R115" s="12"/>
      <x:c r="S115" s="11" t="str"/>
      <x:c r="T115" s="11" t="str"/>
      <x:c r="U115" s="11" t="str"/>
    </x:row>
    <x:row r="116" ht="97.5" customHeight="1">
      <x:c r="A116" s="3" t="str">
        <x:v>EN-009</x:v>
      </x:c>
      <x:c r="B116" s="3" t="str">
        <x:v>P0</x:v>
      </x:c>
      <x:c r="C116" s="3" t="str">
        <x:v>영문</x:v>
      </x:c>
      <x:c r="D116" s="11" t="str">
        <x:v>N/A</x:v>
      </x:c>
      <x:c r="E116" s="11" t="str">
        <x:v>차단</x:v>
      </x:c>
      <x:c r="F116" s="3" t="str">
        <x:v>오류</x:v>
      </x:c>
      <x:c r="G116" s="3" t="str">
        <x:v>오프라인·만료·권한 오류 영어</x:v>
      </x:c>
      <x:c r="H116" s="3" t="str">
        <x:v>EN</x:v>
      </x:c>
      <x:c r="I116" s="3" t="str">
        <x:v>Android APK</x:v>
      </x:c>
      <x:c r="J116" s="3" t="str">
        <x:v>KO/EN 리소스와 언어 선택 기능을 적용한 빌드. 테스트데이터의 언어 기본안을 기준으로 실행.
TD-07·TD-10. 현재 한국어 직접 작성·언어 전환 미구현. 영문 출시 전 실행.</x:v>
      </x:c>
      <x:c r="K116" s="3" t="str">
        <x:v>1. 로그아웃·세션 만료·권한 거부·오프라인·시간초과 재현
2. 오류와 복귀 버튼 실행</x:v>
      </x:c>
      <x:c r="L116" s="3" t="str">
        <x:v>안전한 영어 오류와 실제 복구 행동이 보인다. API 원문·한국어 기본 오류·영문 stack을 표시하지 않는다. 영어 안내를 오류 필터가 잘못 제거하지 않는다.</x:v>
      </x:c>
      <x:c r="M116" s="3" t="str"/>
      <x:c r="N116" s="11" t="str"/>
      <x:c r="O116" s="11" t="str">
        <x:v>영문 리소스·언어 선택 미구현. EN 지원 빌드 필요.</x:v>
      </x:c>
      <x:c r="P116" s="11" t="str"/>
      <x:c r="Q116" s="12"/>
      <x:c r="R116" s="12"/>
      <x:c r="S116" s="11" t="str"/>
      <x:c r="T116" s="11" t="str"/>
      <x:c r="U116" s="11" t="str"/>
    </x:row>
    <x:row r="117" ht="97.5" customHeight="1">
      <x:c r="A117" s="3" t="str">
        <x:v>EN-010</x:v>
      </x:c>
      <x:c r="B117" s="3" t="str">
        <x:v>P1</x:v>
      </x:c>
      <x:c r="C117" s="3" t="str">
        <x:v>영문</x:v>
      </x:c>
      <x:c r="D117" s="11" t="str">
        <x:v>N/A</x:v>
      </x:c>
      <x:c r="E117" s="11" t="str">
        <x:v>차단</x:v>
      </x:c>
      <x:c r="F117" s="3" t="str">
        <x:v>하루</x:v>
      </x:c>
      <x:c r="G117" s="3" t="str">
        <x:v>로딩·빈 기록·오류 영어</x:v>
      </x:c>
      <x:c r="H117" s="3" t="str">
        <x:v>EN</x:v>
      </x:c>
      <x:c r="I117" s="3" t="str">
        <x:v>Android APK</x:v>
      </x:c>
      <x:c r="J117" s="3" t="str">
        <x:v>KO/EN 리소스와 언어 선택 기능을 적용한 빌드. 테스트데이터의 언어 기본안을 기준으로 실행.
TD-07·TD-10. 현재 한국어 직접 작성·언어 전환 미구현. 영문 출시 전 실행.</x:v>
      </x:c>
      <x:c r="K117" s="3" t="str">
        <x:v>1. 하루의 로딩·빈 피드·실패·없는 주소 화면 열기
2. 접근성 이름과 다음 행동 확인</x:v>
      </x:c>
      <x:c r="L117" s="3" t="str">
        <x:v>Haru 이름과 포즈는 유지되고 상태·설명·버튼·읽어주는 텍스트는 영어다. 캐릭터를 포함한 안내가 잘리지 않는다.</x:v>
      </x:c>
      <x:c r="M117" s="3" t="str"/>
      <x:c r="N117" s="11" t="str"/>
      <x:c r="O117" s="11" t="str">
        <x:v>영문 리소스·언어 선택 미구현. EN 지원 빌드 필요.</x:v>
      </x:c>
      <x:c r="P117" s="11" t="str"/>
      <x:c r="Q117" s="12"/>
      <x:c r="R117" s="12"/>
      <x:c r="S117" s="11" t="str"/>
      <x:c r="T117" s="11" t="str"/>
      <x:c r="U117" s="11" t="str"/>
    </x:row>
    <x:row r="118" ht="97.5" customHeight="1">
      <x:c r="A118" s="3" t="str">
        <x:v>EN-011</x:v>
      </x:c>
      <x:c r="B118" s="3" t="str">
        <x:v>P0</x:v>
      </x:c>
      <x:c r="C118" s="3" t="str">
        <x:v>영문</x:v>
      </x:c>
      <x:c r="D118" s="11" t="str">
        <x:v>N/A</x:v>
      </x:c>
      <x:c r="E118" s="11" t="str">
        <x:v>차단</x:v>
      </x:c>
      <x:c r="F118" s="3" t="str">
        <x:v>변수</x:v>
      </x:c>
      <x:c r="G118" s="3" t="str">
        <x:v>동적 값과 placeholder 치환</x:v>
      </x:c>
      <x:c r="H118" s="3" t="str">
        <x:v>EN</x:v>
      </x:c>
      <x:c r="I118" s="3" t="str">
        <x:v>Android APK</x:v>
      </x:c>
      <x:c r="J118" s="3" t="str">
        <x:v>KO/EN 리소스와 언어 선택 기능을 적용한 빌드. 테스트데이터의 언어 기본안을 기준으로 실행.
TD-07·TD-10. 현재 한국어 직접 작성·언어 전환 미구현. 영문 출시 전 실행.</x:v>
      </x:c>
      <x:c r="K118" s="3" t="str">
        <x:v>1. 여행자명·도시·DAY·메뉴 번호를 다른 값으로 변경
2. 확인·완료·오류 문구 읽기</x:v>
      </x:c>
      <x:c r="L118" s="3" t="str">
        <x:v>변수가 정확히 치환되고 {name}·%s·undefined가 없다. 영어 어순으로 표시되며 조사나 숫자를 문장에 임의 이어붙이지 않는다.</x:v>
      </x:c>
      <x:c r="M118" s="3" t="str"/>
      <x:c r="N118" s="11" t="str"/>
      <x:c r="O118" s="11" t="str">
        <x:v>영문 리소스·언어 선택 미구현. EN 지원 빌드 필요.</x:v>
      </x:c>
      <x:c r="P118" s="11" t="str"/>
      <x:c r="Q118" s="12"/>
      <x:c r="R118" s="12"/>
      <x:c r="S118" s="11" t="str"/>
      <x:c r="T118" s="11" t="str"/>
      <x:c r="U118" s="11" t="str"/>
    </x:row>
    <x:row r="119" ht="97.5" customHeight="1">
      <x:c r="A119" s="3" t="str">
        <x:v>EN-012</x:v>
      </x:c>
      <x:c r="B119" s="3" t="str">
        <x:v>P1</x:v>
      </x:c>
      <x:c r="C119" s="3" t="str">
        <x:v>영문</x:v>
      </x:c>
      <x:c r="D119" s="11" t="str">
        <x:v>N/A</x:v>
      </x:c>
      <x:c r="E119" s="11" t="str">
        <x:v>차단</x:v>
      </x:c>
      <x:c r="F119" s="3" t="str">
        <x:v>수량</x:v>
      </x:c>
      <x:c r="G119" s="3" t="str">
        <x:v>0·1·2개 복수형</x:v>
      </x:c>
      <x:c r="H119" s="3" t="str">
        <x:v>EN</x:v>
      </x:c>
      <x:c r="I119" s="3" t="str">
        <x:v>Android APK</x:v>
      </x:c>
      <x:c r="J119" s="3" t="str">
        <x:v>KO/EN 리소스와 언어 선택 기능을 적용한 빌드. 테스트데이터의 언어 기본안을 기준으로 실행.
TD-07·TD-10. 현재 한국어 직접 작성·언어 전환 미구현. 영문 출시 전 실행.</x:v>
      </x:c>
      <x:c r="K119" s="3" t="str">
        <x:v>1. 여행·사진·메뉴·기록 수를 0/1/2로 준비
2. 제목·본문·통계 비교</x:v>
      </x:c>
      <x:c r="L119" s="3" t="str">
        <x:v>영어 단수·복수 문법과 실제 개수가 맞다. 0개는 빈 기록 안내, 1개는 단수, 2개 이상은 복수다. 한국어 전환 후 수량도 유지한다.</x:v>
      </x:c>
      <x:c r="M119" s="3" t="str"/>
      <x:c r="N119" s="11" t="str"/>
      <x:c r="O119" s="11" t="str">
        <x:v>영문 리소스·언어 선택 미구현. EN 지원 빌드 필요.</x:v>
      </x:c>
      <x:c r="P119" s="11" t="str"/>
      <x:c r="Q119" s="12"/>
      <x:c r="R119" s="12"/>
      <x:c r="S119" s="11" t="str"/>
      <x:c r="T119" s="11" t="str"/>
      <x:c r="U119" s="11" t="str"/>
    </x:row>
    <x:row r="120" ht="97.5" customHeight="1">
      <x:c r="A120" s="3" t="str">
        <x:v>EN-013</x:v>
      </x:c>
      <x:c r="B120" s="3" t="str">
        <x:v>P1</x:v>
      </x:c>
      <x:c r="C120" s="3" t="str">
        <x:v>영문</x:v>
      </x:c>
      <x:c r="D120" s="11" t="str">
        <x:v>N/A</x:v>
      </x:c>
      <x:c r="E120" s="11" t="str">
        <x:v>차단</x:v>
      </x:c>
      <x:c r="F120" s="3" t="str">
        <x:v>브랜드</x:v>
      </x:c>
      <x:c r="G120" s="3" t="str">
        <x:v>브랜드·발자국 용어 일관성</x:v>
      </x:c>
      <x:c r="H120" s="3" t="str">
        <x:v>EN</x:v>
      </x:c>
      <x:c r="I120" s="3" t="str">
        <x:v>Android APK</x:v>
      </x:c>
      <x:c r="J120" s="3" t="str">
        <x:v>KO/EN 리소스와 언어 선택 기능을 적용한 빌드. 테스트데이터의 언어 기본안을 기준으로 실행.
TD-07·TD-10. 현재 한국어 직접 작성·언어 전환 미구현. 영문 출시 전 실행.</x:v>
      </x:c>
      <x:c r="K120" s="3" t="str">
        <x:v>1. 홈·다이어리·마이·공유 문구 확인
2. 문구 기준과 대조</x:v>
      </x:c>
      <x:c r="L120" s="3" t="str">
        <x:v>TripPrint·Haru·Footprints를 일관되게 쓴다. 브랜드명·Google Maps를 번역하거나 다른 이름으로 바꾸지 않는다.</x:v>
      </x:c>
      <x:c r="M120" s="3" t="str"/>
      <x:c r="N120" s="11" t="str"/>
      <x:c r="O120" s="11" t="str">
        <x:v>영문 리소스·언어 선택 미구현. EN 지원 빌드 필요.</x:v>
      </x:c>
      <x:c r="P120" s="11" t="str"/>
      <x:c r="Q120" s="12"/>
      <x:c r="R120" s="12"/>
      <x:c r="S120" s="11" t="str"/>
      <x:c r="T120" s="11" t="str"/>
      <x:c r="U120" s="11" t="str"/>
    </x:row>
    <x:row r="121" ht="97.5" customHeight="1">
      <x:c r="A121" s="3" t="str">
        <x:v>EN-014</x:v>
      </x:c>
      <x:c r="B121" s="3" t="str">
        <x:v>P1</x:v>
      </x:c>
      <x:c r="C121" s="3" t="str">
        <x:v>영문</x:v>
      </x:c>
      <x:c r="D121" s="11" t="str">
        <x:v>N/A</x:v>
      </x:c>
      <x:c r="E121" s="11" t="str">
        <x:v>차단</x:v>
      </x:c>
      <x:c r="F121" s="3" t="str">
        <x:v>레이아웃</x:v>
      </x:c>
      <x:c r="G121" s="3" t="str">
        <x:v>긴 영문과 번역 확장</x:v>
      </x:c>
      <x:c r="H121" s="3" t="str">
        <x:v>EN</x:v>
      </x:c>
      <x:c r="I121" s="3" t="str">
        <x:v>Android APK</x:v>
      </x:c>
      <x:c r="J121" s="3" t="str">
        <x:v>KO/EN 리소스와 언어 선택 기능을 적용한 빌드. 테스트데이터의 언어 기본안을 기준으로 실행.
TD-07·TD-10. 현재 한국어 직접 작성·언어 전환 미구현. 영문 출시 전 실행.</x:v>
      </x:c>
      <x:c r="K121" s="3" t="str">
        <x:v>1. 기본 영어와 40% 이상 늘린 QA 문자열 표시
2. 320/360/390dp에서 폼·탭·CTA 확인</x:v>
      </x:c>
      <x:c r="L121" s="3" t="str">
        <x:v>문장이 늘어도 의미·금액·버튼이 겹치거나 잘리지 않는다. 폰트를 지나치게 줄여 맞추지 않으며 필요한 본문을 스크롤할 수 있다.</x:v>
      </x:c>
      <x:c r="M121" s="3" t="str"/>
      <x:c r="N121" s="11" t="str"/>
      <x:c r="O121" s="11" t="str">
        <x:v>영문 리소스·언어 선택 미구현. EN 지원 빌드 필요.</x:v>
      </x:c>
      <x:c r="P121" s="11" t="str"/>
      <x:c r="Q121" s="12"/>
      <x:c r="R121" s="12"/>
      <x:c r="S121" s="11" t="str"/>
      <x:c r="T121" s="11" t="str"/>
      <x:c r="U121" s="11" t="str"/>
    </x:row>
    <x:row r="122" ht="97.5" customHeight="1">
      <x:c r="A122" s="3" t="str">
        <x:v>EN-015</x:v>
      </x:c>
      <x:c r="B122" s="3" t="str">
        <x:v>P1</x:v>
      </x:c>
      <x:c r="C122" s="3" t="str">
        <x:v>영문</x:v>
      </x:c>
      <x:c r="D122" s="11" t="str">
        <x:v>N/A</x:v>
      </x:c>
      <x:c r="E122" s="11" t="str">
        <x:v>차단</x:v>
      </x:c>
      <x:c r="F122" s="3" t="str">
        <x:v>접근성</x:v>
      </x:c>
      <x:c r="G122" s="3" t="str">
        <x:v>영문 큰 글씨와 화면 읽기</x:v>
      </x:c>
      <x:c r="H122" s="3" t="str">
        <x:v>EN</x:v>
      </x:c>
      <x:c r="I122" s="3" t="str">
        <x:v>Android APK</x:v>
      </x:c>
      <x:c r="J122" s="3" t="str">
        <x:v>KO/EN 리소스와 언어 선택 기능을 적용한 빌드. 테스트데이터의 언어 기본안을 기준으로 실행.
TD-07·TD-10. 현재 한국어 직접 작성·언어 전환 미구현. 영문 출시 전 실행.</x:v>
      </x:c>
      <x:c r="K122" s="3" t="str">
        <x:v>1. English에서 글자 크기 200%
2. TalkBack/VoiceOver로 입력·오류·아이콘 탐색</x:v>
      </x:c>
      <x:c r="L122" s="3" t="str">
        <x:v>핵심 정보와 CTA를 읽고 조작할 수 있다. 접근성 이름도 영어이며 원어 장소명이 임의 변형되지 않는다.</x:v>
      </x:c>
      <x:c r="M122" s="3" t="str"/>
      <x:c r="N122" s="11" t="str"/>
      <x:c r="O122" s="11" t="str">
        <x:v>영문 리소스·언어 선택 미구현. EN 지원 빌드 필요.</x:v>
      </x:c>
      <x:c r="P122" s="11" t="str"/>
      <x:c r="Q122" s="12"/>
      <x:c r="R122" s="12"/>
      <x:c r="S122" s="11" t="str"/>
      <x:c r="T122" s="11" t="str"/>
      <x:c r="U122" s="11" t="str"/>
    </x:row>
    <x:row r="123" ht="97.5" customHeight="1">
      <x:c r="A123" s="3" t="str">
        <x:v>EN-016</x:v>
      </x:c>
      <x:c r="B123" s="3" t="str">
        <x:v>P0</x:v>
      </x:c>
      <x:c r="C123" s="3" t="str">
        <x:v>영문</x:v>
      </x:c>
      <x:c r="D123" s="11" t="str">
        <x:v>N/A</x:v>
      </x:c>
      <x:c r="E123" s="11" t="str">
        <x:v>차단</x:v>
      </x:c>
      <x:c r="F123" s="3" t="str">
        <x:v>날짜</x:v>
      </x:c>
      <x:c r="G123" s="3" t="str">
        <x:v>미국·영국 기기의 날짜 해석</x:v>
      </x:c>
      <x:c r="H123" s="3" t="str">
        <x:v>EN</x:v>
      </x:c>
      <x:c r="I123" s="3" t="str">
        <x:v>Android APK</x:v>
      </x:c>
      <x:c r="J123" s="3" t="str">
        <x:v>KO/EN 리소스와 언어 선택 기능을 적용한 빌드. 테스트데이터의 언어 기본안을 기준으로 실행.
TD-07·TD-10. 현재 한국어 직접 작성·언어 전환 미구현. 영문 출시 전 실행.</x:v>
      </x:c>
      <x:c r="K123" s="3" t="str">
        <x:v>1. en-US와 en-GB 기기에서 2026-09-28 선택
2. 달력·DAY·영수증·다이어리 비교</x:v>
      </x:c>
      <x:c r="L123" s="3" t="str">
        <x:v>선택한 실제 날짜는 모두 2026-09-28이다. 월·일을 뒤집지 않는다. 서비스 표시 기본안은 Sep 28, 2026 또는 ISO 날짜처럼 혼동이 적은 형식이다.</x:v>
      </x:c>
      <x:c r="M123" s="3" t="str"/>
      <x:c r="N123" s="11" t="str"/>
      <x:c r="O123" s="11" t="str">
        <x:v>영문 리소스·언어 선택 미구현. EN 지원 빌드 필요.</x:v>
      </x:c>
      <x:c r="P123" s="11" t="str"/>
      <x:c r="Q123" s="12"/>
      <x:c r="R123" s="12"/>
      <x:c r="S123" s="11" t="str"/>
      <x:c r="T123" s="11" t="str"/>
      <x:c r="U123" s="11" t="str"/>
    </x:row>
    <x:row r="124" ht="97.5" customHeight="1">
      <x:c r="A124" s="3" t="str">
        <x:v>EN-017</x:v>
      </x:c>
      <x:c r="B124" s="3" t="str">
        <x:v>P0</x:v>
      </x:c>
      <x:c r="C124" s="3" t="str">
        <x:v>영문</x:v>
      </x:c>
      <x:c r="D124" s="11" t="str">
        <x:v>N/A</x:v>
      </x:c>
      <x:c r="E124" s="11" t="str">
        <x:v>차단</x:v>
      </x:c>
      <x:c r="F124" s="3" t="str">
        <x:v>시간대</x:v>
      </x:c>
      <x:c r="G124" s="3" t="str">
        <x:v>언어와 여행 현지 시간 독립</x:v>
      </x:c>
      <x:c r="H124" s="3" t="str">
        <x:v>EN</x:v>
      </x:c>
      <x:c r="I124" s="3" t="str">
        <x:v>Android APK</x:v>
      </x:c>
      <x:c r="J124" s="3" t="str">
        <x:v>KO/EN 리소스와 언어 선택 기능을 적용한 빌드. 테스트데이터의 언어 기본안을 기준으로 실행.
TD-07·TD-10. 현재 한국어 직접 작성·언어 전환 미구현. 영문 출시 전 실행.</x:v>
      </x:c>
      <x:c r="K124" s="3" t="str">
        <x:v>1. 기기 시간을 서울·런던으로 변경
2. English에서 TD-02 결제 일시 확인
3. 한국어 전환 후 비교</x:v>
      </x:c>
      <x:c r="L124" s="3" t="str">
        <x:v>여행 현지 결제는 9월 28일 16:36 및 DAY3로 유지된다. UI 언어·기기 시간대 변경 때문에 27일·29일로 이동하지 않는다.</x:v>
      </x:c>
      <x:c r="M124" s="3" t="str"/>
      <x:c r="N124" s="11" t="str"/>
      <x:c r="O124" s="11" t="str">
        <x:v>영문 리소스·언어 선택 미구현. EN 지원 빌드 필요.</x:v>
      </x:c>
      <x:c r="P124" s="11" t="str"/>
      <x:c r="Q124" s="12"/>
      <x:c r="R124" s="12"/>
      <x:c r="S124" s="11" t="str"/>
      <x:c r="T124" s="11" t="str"/>
      <x:c r="U124" s="11" t="str"/>
    </x:row>
    <x:row r="125" ht="97.5" customHeight="1">
      <x:c r="A125" s="3" t="str">
        <x:v>EN-018</x:v>
      </x:c>
      <x:c r="B125" s="3" t="str">
        <x:v>P0</x:v>
      </x:c>
      <x:c r="C125" s="3" t="str">
        <x:v>영문</x:v>
      </x:c>
      <x:c r="D125" s="11" t="str">
        <x:v>N/A</x:v>
      </x:c>
      <x:c r="E125" s="11" t="str">
        <x:v>차단</x:v>
      </x:c>
      <x:c r="F125" s="3" t="str">
        <x:v>금액</x:v>
      </x:c>
      <x:c r="G125" s="3" t="str">
        <x:v>통화와 소수점 표시·입력</x:v>
      </x:c>
      <x:c r="H125" s="3" t="str">
        <x:v>EN</x:v>
      </x:c>
      <x:c r="I125" s="3" t="str">
        <x:v>Android APK</x:v>
      </x:c>
      <x:c r="J125" s="3" t="str">
        <x:v>KO/EN 리소스와 언어 선택 기능을 적용한 빌드. 테스트데이터의 언어 기본안을 기준으로 실행.
TD-07·TD-10. 현재 한국어 직접 작성·언어 전환 미구현. 영문 출시 전 실행.</x:v>
      </x:c>
      <x:c r="K125" s="3" t="str">
        <x:v>1. USD 12.34·1234.56과 JPY 2450 입력
2. English/한국어 전환
3. 합계·재조회 확인</x:v>
      </x:c>
      <x:c r="L125" s="3" t="str">
        <x:v>소수 단위와 통화를 정확히 유지한다. 표시의 천 단위 구분을 실제 숫자로 잘못 저장하지 않는다. USD cents와 JPY 정수 정책이 같고 통화를 임의 환산하지 않는다.</x:v>
      </x:c>
      <x:c r="M125" s="3" t="str"/>
      <x:c r="N125" s="11" t="str"/>
      <x:c r="O125" s="11" t="str">
        <x:v>영문 리소스·언어 선택 미구현. EN 지원 빌드 필요.</x:v>
      </x:c>
      <x:c r="P125" s="11" t="str"/>
      <x:c r="Q125" s="12"/>
      <x:c r="R125" s="12"/>
      <x:c r="S125" s="11" t="str"/>
      <x:c r="T125" s="11" t="str"/>
      <x:c r="U125" s="11" t="str"/>
    </x:row>
    <x:row r="126" ht="97.5" customHeight="1">
      <x:c r="A126" s="3" t="str">
        <x:v>EN-019</x:v>
      </x:c>
      <x:c r="B126" s="3" t="str">
        <x:v>P1</x:v>
      </x:c>
      <x:c r="C126" s="3" t="str">
        <x:v>영문</x:v>
      </x:c>
      <x:c r="D126" s="11" t="str">
        <x:v>N/A</x:v>
      </x:c>
      <x:c r="E126" s="11" t="str">
        <x:v>차단</x:v>
      </x:c>
      <x:c r="F126" s="3" t="str">
        <x:v>목적지 검색</x:v>
      </x:c>
      <x:c r="G126" s="3" t="str">
        <x:v>영문 국가·도시·공항 검색</x:v>
      </x:c>
      <x:c r="H126" s="3" t="str">
        <x:v>EN</x:v>
      </x:c>
      <x:c r="I126" s="3" t="str">
        <x:v>Android APK</x:v>
      </x:c>
      <x:c r="J126" s="3" t="str">
        <x:v>KO/EN 리소스와 언어 선택 기능을 적용한 빌드. 테스트데이터의 언어 기본안을 기준으로 실행.
TD-07·TD-10. 현재 한국어 직접 작성·언어 전환 미구현. 영문 출시 전 실행.</x:v>
      </x:c>
      <x:c r="K126" s="3" t="str">
        <x:v>1. Japan/Tokyo/Osaka/KIX와 Korea/Seoul/ICN 검색
2. 목적지·항공 선택 후 저장</x:v>
      </x:c>
      <x:c r="L126" s="3" t="str">
        <x:v>영문 검색으로 올바른 나라·도시·공항을 찾는다. IATA 코드와 장소 ID는 언어에 따라 바뀌지 않으며 동일 여행에 저장한다.</x:v>
      </x:c>
      <x:c r="M126" s="3" t="str"/>
      <x:c r="N126" s="11" t="str"/>
      <x:c r="O126" s="11" t="str">
        <x:v>영문 리소스·언어 선택 미구현. EN 지원 빌드 필요.</x:v>
      </x:c>
      <x:c r="P126" s="11" t="str"/>
      <x:c r="Q126" s="12"/>
      <x:c r="R126" s="12"/>
      <x:c r="S126" s="11" t="str"/>
      <x:c r="T126" s="11" t="str"/>
      <x:c r="U126" s="11" t="str"/>
    </x:row>
    <x:row r="127" ht="97.5" customHeight="1">
      <x:c r="A127" s="3" t="str">
        <x:v>EN-020</x:v>
      </x:c>
      <x:c r="B127" s="3" t="str">
        <x:v>P0</x:v>
      </x:c>
      <x:c r="C127" s="3" t="str">
        <x:v>영문</x:v>
      </x:c>
      <x:c r="D127" s="11" t="str">
        <x:v>N/A</x:v>
      </x:c>
      <x:c r="E127" s="11" t="str">
        <x:v>차단</x:v>
      </x:c>
      <x:c r="F127" s="3" t="str">
        <x:v>사용자 원문</x:v>
      </x:c>
      <x:c r="G127" s="3" t="str">
        <x:v>다국어 원문 데이터 보존</x:v>
      </x:c>
      <x:c r="H127" s="3" t="str">
        <x:v>EN</x:v>
      </x:c>
      <x:c r="I127" s="3" t="str">
        <x:v>Android APK</x:v>
      </x:c>
      <x:c r="J127" s="3" t="str">
        <x:v>KO/EN 리소스와 언어 선택 기능을 적용한 빌드. 테스트데이터의 언어 기본안을 기준으로 실행.
TD-07·TD-10. 현재 한국어 직접 작성·언어 전환 미구현. 영문 출시 전 실행.</x:v>
      </x:c>
      <x:c r="K127" s="3" t="str">
        <x:v>1. TD-06 일본어 메뉴·한국어 이름·악센트·이모지 입력
2. UI 언어 전환 후 저장·조회</x:v>
      </x:c>
      <x:c r="L127" s="3" t="str">
        <x:v>사용자 이름·주소·메뉴·메모는 원문을 보존한다. UI를 영어로 바꿨다는 이유로 사용자 콘텐츠를 자동 번역·삭제하거나 검색 불가능하게 하지 않는다.</x:v>
      </x:c>
      <x:c r="M127" s="3" t="str"/>
      <x:c r="N127" s="11" t="str"/>
      <x:c r="O127" s="11" t="str">
        <x:v>영문 리소스·언어 선택 미구현. EN 지원 빌드 필요.</x:v>
      </x:c>
      <x:c r="P127" s="11" t="str"/>
      <x:c r="Q127" s="12"/>
      <x:c r="R127" s="12"/>
      <x:c r="S127" s="11" t="str"/>
      <x:c r="T127" s="11" t="str"/>
      <x:c r="U127" s="11" t="str"/>
    </x:row>
    <x:row r="128" ht="97.5" customHeight="1">
      <x:c r="A128" s="3" t="str">
        <x:v>EN-021</x:v>
      </x:c>
      <x:c r="B128" s="3" t="str">
        <x:v>P0</x:v>
      </x:c>
      <x:c r="C128" s="3" t="str">
        <x:v>영문</x:v>
      </x:c>
      <x:c r="D128" s="11" t="str">
        <x:v>N/A</x:v>
      </x:c>
      <x:c r="E128" s="11" t="str">
        <x:v>차단</x:v>
      </x:c>
      <x:c r="F128" s="3" t="str">
        <x:v>영수증</x:v>
      </x:c>
      <x:c r="G128" s="3" t="str">
        <x:v>영문 영수증 인식과 총액</x:v>
      </x:c>
      <x:c r="H128" s="3" t="str">
        <x:v>EN</x:v>
      </x:c>
      <x:c r="I128" s="3" t="str">
        <x:v>Android APK</x:v>
      </x:c>
      <x:c r="J128" s="3" t="str">
        <x:v>KO/EN 리소스와 언어 선택 기능을 적용한 빌드. 테스트데이터의 언어 기본안을 기준으로 실행.
TD-07·TD-10. 현재 한국어 직접 작성·언어 전환 미구현. 영문 출시 전 실행.</x:v>
      </x:c>
      <x:c r="K128" s="3" t="str">
        <x:v>1. TD-08 영문 영수증 스캔
2. merchant/address/date/time/items/subtotal/tax/tip/total 대조
3. 확인 후 등록</x:v>
      </x:c>
      <x:c r="L128" s="3" t="str">
        <x:v>필드를 자동 추출하고 총 결제액 USD 25.30을 지출로 남긴다. subtotal/tax/tip을 total에 다시 더하거나 cash/change를 지출로 읽지 않는다.</x:v>
      </x:c>
      <x:c r="M128" s="3" t="str"/>
      <x:c r="N128" s="11" t="str"/>
      <x:c r="O128" s="11" t="str">
        <x:v>영문 리소스·언어 선택 미구현. EN 지원 빌드 필요.</x:v>
      </x:c>
      <x:c r="P128" s="11" t="str"/>
      <x:c r="Q128" s="12"/>
      <x:c r="R128" s="12"/>
      <x:c r="S128" s="11" t="str"/>
      <x:c r="T128" s="11" t="str"/>
      <x:c r="U128" s="11" t="str"/>
    </x:row>
    <x:row r="129" ht="97.5" customHeight="1">
      <x:c r="A129" s="3" t="str">
        <x:v>EN-022</x:v>
      </x:c>
      <x:c r="B129" s="3" t="str">
        <x:v>P0</x:v>
      </x:c>
      <x:c r="C129" s="3" t="str">
        <x:v>영문</x:v>
      </x:c>
      <x:c r="D129" s="11" t="str">
        <x:v>N/A</x:v>
      </x:c>
      <x:c r="E129" s="11" t="str">
        <x:v>차단</x:v>
      </x:c>
      <x:c r="F129" s="3" t="str">
        <x:v>영수증</x:v>
      </x:c>
      <x:c r="G129" s="3" t="str">
        <x:v>일본어 영수증과 영문 UI</x:v>
      </x:c>
      <x:c r="H129" s="3" t="str">
        <x:v>EN</x:v>
      </x:c>
      <x:c r="I129" s="3" t="str">
        <x:v>Android APK</x:v>
      </x:c>
      <x:c r="J129" s="3" t="str">
        <x:v>KO/EN 리소스와 언어 선택 기능을 적용한 빌드. 테스트데이터의 언어 기본안을 기준으로 실행.
TD-07·TD-10. 현재 한국어 직접 작성·언어 전환 미구현. 영문 출시 전 실행.</x:v>
      </x:c>
      <x:c r="K129" s="3" t="str">
        <x:v>1. English UI에서 TD-02 스캔
2. 인식 확인·오독 항목 수정
3. 등록·다이어리 조회</x:v>
      </x:c>
      <x:c r="L129" s="3" t="str">
        <x:v>UI 안내는 영어지만 상호·일본어 주소·메뉴 원문을 유지한다. 결제 2026-09-28 16:36·JPY 2450·DAY3를 보존한다.</x:v>
      </x:c>
      <x:c r="M129" s="3" t="str"/>
      <x:c r="N129" s="11" t="str"/>
      <x:c r="O129" s="11" t="str">
        <x:v>영문 리소스·언어 선택 미구현. EN 지원 빌드 필요.</x:v>
      </x:c>
      <x:c r="P129" s="11" t="str"/>
      <x:c r="Q129" s="12"/>
      <x:c r="R129" s="12"/>
      <x:c r="S129" s="11" t="str"/>
      <x:c r="T129" s="11" t="str"/>
      <x:c r="U129" s="11" t="str"/>
    </x:row>
    <x:row r="130" ht="97.5" customHeight="1">
      <x:c r="A130" s="3" t="str">
        <x:v>EN-023</x:v>
      </x:c>
      <x:c r="B130" s="3" t="str">
        <x:v>P1</x:v>
      </x:c>
      <x:c r="C130" s="3" t="str">
        <x:v>영문</x:v>
      </x:c>
      <x:c r="D130" s="11" t="str">
        <x:v>N/A</x:v>
      </x:c>
      <x:c r="E130" s="11" t="str">
        <x:v>차단</x:v>
      </x:c>
      <x:c r="F130" s="3" t="str">
        <x:v>영수증</x:v>
      </x:c>
      <x:c r="G130" s="3" t="str">
        <x:v>한국어 영수증과 영문 UI</x:v>
      </x:c>
      <x:c r="H130" s="3" t="str">
        <x:v>EN</x:v>
      </x:c>
      <x:c r="I130" s="3" t="str">
        <x:v>Android APK</x:v>
      </x:c>
      <x:c r="J130" s="3" t="str">
        <x:v>KO/EN 리소스와 언어 선택 기능을 적용한 빌드. 테스트데이터의 언어 기본안을 기준으로 실행.
TD-07·TD-10. 현재 한국어 직접 작성·언어 전환 미구현. 영문 출시 전 실행.</x:v>
      </x:c>
      <x:c r="K130" s="3" t="str">
        <x:v>1. English UI에서 TD-09 한국어 영수증 스캔
2. 자동 인식 결과 확인·등록</x:v>
      </x:c>
      <x:c r="L130" s="3" t="str">
        <x:v>UI는 영어이며 한국어 상호·메뉴 원문이 남는다. KRW 정수 합계 18000과 결제일·DAY가 맞고 전부 영어로 재입력하라고 요구하지 않는다.</x:v>
      </x:c>
      <x:c r="M130" s="3" t="str"/>
      <x:c r="N130" s="11" t="str"/>
      <x:c r="O130" s="11" t="str">
        <x:v>영문 리소스·언어 선택 미구현. EN 지원 빌드 필요.</x:v>
      </x:c>
      <x:c r="P130" s="11" t="str"/>
      <x:c r="Q130" s="12"/>
      <x:c r="R130" s="12"/>
      <x:c r="S130" s="11" t="str"/>
      <x:c r="T130" s="11" t="str"/>
      <x:c r="U130" s="11" t="str"/>
    </x:row>
    <x:row r="131" ht="97.5" customHeight="1">
      <x:c r="A131" s="3" t="str">
        <x:v>EN-024</x:v>
      </x:c>
      <x:c r="B131" s="3" t="str">
        <x:v>P0</x:v>
      </x:c>
      <x:c r="C131" s="3" t="str">
        <x:v>영문</x:v>
      </x:c>
      <x:c r="D131" s="11" t="str">
        <x:v>N/A</x:v>
      </x:c>
      <x:c r="E131" s="11" t="str">
        <x:v>차단</x:v>
      </x:c>
      <x:c r="F131" s="3" t="str">
        <x:v>네이티브</x:v>
      </x:c>
      <x:c r="G131" s="3" t="str">
        <x:v>OS 권한·공유·설치 이름 영어</x:v>
      </x:c>
      <x:c r="H131" s="3" t="str">
        <x:v>EN</x:v>
      </x:c>
      <x:c r="I131" s="3" t="str">
        <x:v>Android APK</x:v>
      </x:c>
      <x:c r="J131" s="3" t="str">
        <x:v>KO/EN 리소스와 언어 선택 기능을 적용한 빌드. 테스트데이터의 언어 기본안을 기준으로 실행.
TD-07·TD-10. 현재 한국어 직접 작성·언어 전환 미구현. 영문 출시 전 실행.</x:v>
      </x:c>
      <x:c r="K131" s="3" t="str">
        <x:v>1. 영문 Android/iOS에서 첫 사진·카메라 권한 요청
2. 거부·허용·공유 시트 확인</x:v>
      </x:c>
      <x:c r="L131" s="3" t="str">
        <x:v>OS 표준 버튼은 시스템 언어를 따른다. 앱이 제공한 목적 설명·거부 후 안내는 영어이며 TripPrint 설치 이름·공유 대상·Haru 브랜드가 유지된다. iOS 권한은 로컬 문자열 제공을 별도로 확인한다.</x:v>
      </x:c>
      <x:c r="M131" s="3" t="str"/>
      <x:c r="N131" s="11" t="str"/>
      <x:c r="O131" s="11" t="str">
        <x:v>영문 리소스·언어 선택 미구현. EN 지원 빌드 필요.</x:v>
      </x:c>
      <x:c r="P131" s="11" t="str"/>
      <x:c r="Q131" s="12"/>
      <x:c r="R131" s="12"/>
      <x:c r="S131" s="11" t="str"/>
      <x:c r="T131" s="11" t="str"/>
      <x:c r="U131" s="11" t="str"/>
    </x:row>
    <x:row r="132" ht="97.5" customHeight="1">
      <x:c r="A132" s="3" t="str">
        <x:v>EN-025</x:v>
      </x:c>
      <x:c r="B132" s="3" t="str">
        <x:v>P0</x:v>
      </x:c>
      <x:c r="C132" s="3" t="str">
        <x:v>영문</x:v>
      </x:c>
      <x:c r="D132" s="11" t="str">
        <x:v>N/A</x:v>
      </x:c>
      <x:c r="E132" s="11" t="str">
        <x:v>차단</x:v>
      </x:c>
      <x:c r="F132" s="3" t="str">
        <x:v>복귀</x:v>
      </x:c>
      <x:c r="G132" s="3" t="str">
        <x:v>영문 상태의 초대·지도 공유 복귀</x:v>
      </x:c>
      <x:c r="H132" s="3" t="str">
        <x:v>EN</x:v>
      </x:c>
      <x:c r="I132" s="3" t="str">
        <x:v>Android APK</x:v>
      </x:c>
      <x:c r="J132" s="3" t="str">
        <x:v>KO/EN 리소스와 언어 선택 기능을 적용한 빌드. 테스트데이터의 언어 기본안을 기준으로 실행.
TD-07·TD-10. 현재 한국어 직접 작성·언어 전환 미구현. 영문 출시 전 실행.</x:v>
      </x:c>
      <x:c r="K132" s="3" t="str">
        <x:v>1. English 상태로 앱 종료
2. 초대 또는 Google Maps 공유로 실행
3. 로그인 후 후보 확인·참여/등록</x:v>
      </x:c>
      <x:c r="L132" s="3" t="str">
        <x:v>언어·공유 후보·대상 여행을 유지한다. 한국어 화면으로 갑자기 되돌아가지 않고 사용자 확인 후 실제 참여·등록한다.</x:v>
      </x:c>
      <x:c r="M132" s="3" t="str"/>
      <x:c r="N132" s="11" t="str"/>
      <x:c r="O132" s="11" t="str">
        <x:v>영문 리소스·언어 선택 미구현. EN 지원 빌드 필요.</x:v>
      </x:c>
      <x:c r="P132" s="11" t="str"/>
      <x:c r="Q132" s="12"/>
      <x:c r="R132" s="12"/>
      <x:c r="S132" s="11" t="str"/>
      <x:c r="T132" s="11" t="str"/>
      <x:c r="U132" s="11" t="str"/>
    </x:row>
    <x:row r="133" ht="97.5" customHeight="1">
      <x:c r="A133" s="3" t="str">
        <x:v>EN-026</x:v>
      </x:c>
      <x:c r="B133" s="3" t="str">
        <x:v>P1</x:v>
      </x:c>
      <x:c r="C133" s="3" t="str">
        <x:v>영문</x:v>
      </x:c>
      <x:c r="D133" s="11" t="str">
        <x:v>N/A</x:v>
      </x:c>
      <x:c r="E133" s="11" t="str">
        <x:v>차단</x:v>
      </x:c>
      <x:c r="F133" s="3" t="str">
        <x:v>커뮤니티</x:v>
      </x:c>
      <x:c r="G133" s="3" t="str">
        <x:v>다국어 게시글과 UI 분리</x:v>
      </x:c>
      <x:c r="H133" s="3" t="str">
        <x:v>EN</x:v>
      </x:c>
      <x:c r="I133" s="3" t="str">
        <x:v>Android APK</x:v>
      </x:c>
      <x:c r="J133" s="3" t="str">
        <x:v>KO/EN 리소스와 언어 선택 기능을 적용한 빌드. 테스트데이터의 언어 기본안을 기준으로 실행.
TD-07·TD-10. 현재 한국어 직접 작성·언어 전환 미구현. 영문 출시 전 실행.</x:v>
      </x:c>
      <x:c r="K133" s="3" t="str">
        <x:v>1. 한국어·일본어 원문 게시글 준비
2. English 피드·신고·차단·공개 선택 열기</x:v>
      </x:c>
      <x:c r="L133" s="3" t="str">
        <x:v>서비스 UI·신고 사유·버튼은 영어다. 게시글·장소·사용자 콘텐츠는 원문으로 보이며 UI 미번역과 구별한다. 공개 범위 선택은 언어와 무관하게 동일하다.</x:v>
      </x:c>
      <x:c r="M133" s="3" t="str"/>
      <x:c r="N133" s="11" t="str"/>
      <x:c r="O133" s="11" t="str">
        <x:v>영문 리소스·언어 선택 미구현. EN 지원 빌드 필요.</x:v>
      </x:c>
      <x:c r="P133" s="11" t="str"/>
      <x:c r="Q133" s="12"/>
      <x:c r="R133" s="12"/>
      <x:c r="S133" s="11" t="str"/>
      <x:c r="T133" s="11" t="str"/>
      <x:c r="U133" s="11" t="str"/>
    </x:row>
    <x:row r="134" ht="97.5" customHeight="1">
      <x:c r="A134" s="3" t="str">
        <x:v>TC-077</x:v>
      </x:c>
      <x:c r="B134" s="3" t="str">
        <x:v>P0</x:v>
      </x:c>
      <x:c r="C134" s="3" t="str">
        <x:v>기능</x:v>
      </x:c>
      <x:c r="D134" s="11" t="str">
        <x:v>미실행</x:v>
      </x:c>
      <x:c r="E134" s="11" t="str">
        <x:v>차단</x:v>
      </x:c>
      <x:c r="F134" s="3" t="str">
        <x:v>홈</x:v>
      </x:c>
      <x:c r="G134" s="3" t="str">
        <x:v>신규 계정과 재실행에서 더미 0건</x:v>
      </x:c>
      <x:c r="H134" s="3" t="str">
        <x:v>KO·EN</x:v>
      </x:c>
      <x:c r="I134" s="3" t="str">
        <x:v>Android APK</x:v>
      </x:c>
      <x:c r="J134" s="3" t="str">
        <x:v>A 신규 계정, 여행·일정·사진·커뮤니티 기록 0건</x:v>
      </x:c>
      <x:c r="K134" s="3" t="str">
        <x:v>1. 신규 설치 실행
2. A 가입 후 홈·내 여행·발자국·마이 확인
3. 강제 종료·재실행
4. B 계정으로 전환</x:v>
      </x:c>
      <x:c r="L134" s="3" t="str">
        <x:v>샘플 여행·가상 친구·영수증·지출·후기가 생성되지 않는다. 기록 0개 안내와 여행 시작 행동이 보인다. 계정 A/B의 기록을 섞지 않는다.</x:v>
      </x:c>
      <x:c r="M134" s="3" t="str"/>
      <x:c r="N134" s="11" t="str"/>
      <x:c r="O134" s="11" t="str">
        <x:v>영문 리소스·언어 선택 미구현. EN 지원 빌드 필요.</x:v>
      </x:c>
      <x:c r="P134" s="11" t="str"/>
      <x:c r="Q134" s="12"/>
      <x:c r="R134" s="12"/>
      <x:c r="S134" s="11" t="str"/>
      <x:c r="T134" s="11" t="str"/>
      <x:c r="U134" s="11" t="str"/>
    </x:row>
    <x:row r="135" ht="97.5" customHeight="1">
      <x:c r="A135" s="3" t="str">
        <x:v>TC-078</x:v>
      </x:c>
      <x:c r="B135" s="3" t="str">
        <x:v>P0</x:v>
      </x:c>
      <x:c r="C135" s="3" t="str">
        <x:v>기능</x:v>
      </x:c>
      <x:c r="D135" s="11" t="str">
        <x:v>미실행</x:v>
      </x:c>
      <x:c r="E135" s="11" t="str">
        <x:v>차단</x:v>
      </x:c>
      <x:c r="F135" s="3" t="str">
        <x:v>여행 허브</x:v>
      </x:c>
      <x:c r="G135" s="3" t="str">
        <x:v>실제 여행 우선순위와 재개</x:v>
      </x:c>
      <x:c r="H135" s="3" t="str">
        <x:v>KO·EN</x:v>
      </x:c>
      <x:c r="I135" s="3" t="str">
        <x:v>Android APK</x:v>
      </x:c>
      <x:c r="J135" s="3" t="str">
        <x:v>여행 중 1개·예정 1개·완료 1개를 QA 계정에 직접 생성</x:v>
      </x:c>
      <x:c r="K135" s="3" t="str">
        <x:v>1. 홈의 여행 목록 확인
2. 여행 중 카드 선택
3. 뒤로 돌아와 예정 여행 선택
4. 완료 여행과 다이어리 확인</x:v>
      </x:c>
      <x:c r="L135" s="3" t="str">
        <x:v>여행 중인 실제 여행을 먼저 재개한다. 선택한 ID·제목·도시·기간이 일치하며 다른 여행 상세로 이동하지 않는다.</x:v>
      </x:c>
      <x:c r="M135" s="3" t="str"/>
      <x:c r="N135" s="11" t="str"/>
      <x:c r="O135" s="11" t="str">
        <x:v>영문 리소스·언어 선택 미구현. EN 지원 빌드 필요.</x:v>
      </x:c>
      <x:c r="P135" s="11" t="str"/>
      <x:c r="Q135" s="12"/>
      <x:c r="R135" s="12"/>
      <x:c r="S135" s="11" t="str"/>
      <x:c r="T135" s="11" t="str"/>
      <x:c r="U135" s="11" t="str"/>
    </x:row>
    <x:row r="136" ht="97.5" customHeight="1">
      <x:c r="A136" s="3" t="str">
        <x:v>TC-079</x:v>
      </x:c>
      <x:c r="B136" s="3" t="str">
        <x:v>P0</x:v>
      </x:c>
      <x:c r="C136" s="3" t="str">
        <x:v>기능</x:v>
      </x:c>
      <x:c r="D136" s="11" t="str">
        <x:v>차단</x:v>
      </x:c>
      <x:c r="E136" s="11" t="str">
        <x:v>차단</x:v>
      </x:c>
      <x:c r="F136" s="3" t="str">
        <x:v>영수증 UX</x:v>
      </x:c>
      <x:c r="G136" s="3" t="str">
        <x:v>촬영 진입과 전송 전 사진 미리보기</x:v>
      </x:c>
      <x:c r="H136" s="3" t="str">
        <x:v>KO·EN</x:v>
      </x:c>
      <x:c r="I136" s="3" t="str">
        <x:v>Android APK</x:v>
      </x:c>
      <x:c r="J136" s="3" t="str">
        <x:v>미등록 영수증. 카메라 허용. 네트워크 요청 관찰</x:v>
      </x:c>
      <x:c r="K136" s="3" t="str">
        <x:v>1. 여행에서 영수증 촬영 선택
2. 촬영 후 사진 미리보기 확인
3. 다시 촬영 선택
4. 이 사진 사용 선택
5. 전송 시작 시점 확인</x:v>
      </x:c>
      <x:c r="L136" s="3" t="str">
        <x:v>촬영 동작이 카메라로 바로 이어진다. 촬영한 사진을 로컬에서 확인·재촬영한 뒤 사용을 선택할 때 인식용 전송을 시작한다. 전송 전에 취소하면 서버 사진·영수증·일정·지출을 생성하지 않는다.</x:v>
      </x:c>
      <x:c r="M136" s="3" t="str">
        <x:v>현재 촬영 안내 화면 후 시스템 카메라를 열고 선택 즉시 전송한다. 앱 자체의 전송 전 미리보기·재촬영 단계 미구현. 코드 검토 기준 차단; 실기기 통과 아님.</x:v>
      </x:c>
      <x:c r="N136" s="11" t="str">
        <x:v>현재 촬영 안내 화면 후 시스템 카메라를 열고 선택 즉시 전송한다. 앱 자체의 전송 전 미리보기·재촬영 단계 미구현. 코드 검토 기준 차단; 실기기 통과 아님.</x:v>
      </x:c>
      <x:c r="O136" s="11" t="str">
        <x:v>영문 리소스·언어 선택 미구현. EN 지원 빌드 필요.</x:v>
      </x:c>
      <x:c r="P136" s="11" t="str"/>
      <x:c r="Q136" s="12"/>
      <x:c r="R136" s="12"/>
      <x:c r="S136" s="11" t="str"/>
      <x:c r="T136" s="11" t="str"/>
      <x:c r="U136" s="11" t="str"/>
    </x:row>
    <x:row r="137" ht="97.5" customHeight="1">
      <x:c r="A137" s="3" t="str">
        <x:v>TC-080</x:v>
      </x:c>
      <x:c r="B137" s="3" t="str">
        <x:v>P0</x:v>
      </x:c>
      <x:c r="C137" s="3" t="str">
        <x:v>기능</x:v>
      </x:c>
      <x:c r="D137" s="11" t="str">
        <x:v>차단</x:v>
      </x:c>
      <x:c r="E137" s="11" t="str">
        <x:v>차단</x:v>
      </x:c>
      <x:c r="F137" s="3" t="str">
        <x:v>영수증 UX</x:v>
      </x:c>
      <x:c r="G137" s="3" t="str">
        <x:v>최종 확인 한 번으로 일정 등록</x:v>
      </x:c>
      <x:c r="H137" s="3" t="str">
        <x:v>KO·EN</x:v>
      </x:c>
      <x:c r="I137" s="3" t="str">
        <x:v>Android APK</x:v>
      </x:c>
      <x:c r="J137" s="3" t="str">
        <x:v>자동 인식 완료. 선택 여행·DAY·보관 옵션 표시</x:v>
      </x:c>
      <x:c r="K137" s="3" t="str">
        <x:v>1. 정보·여행·DAY 대조
2. 틀린 내용이면 수정
3. 사진 보관 또는 정보만 선택
4. 최종 확인하고 일정에 추가 선택
5. 성공 결과에서 추가 기록 열기</x:v>
      </x:c>
      <x:c r="L137" s="3" t="str">
        <x:v>정보 수정과 사진 선택 후 최종 등록 행동 한 번으로 저장한다. 저장 전 질문의 네/아니요가 저장 완료처럼 보이지 않는다. 저장 후 어느 여행·날짜에 추가됐는지 표시하고 기록으로 이동할 수 있다.</x:v>
      </x:c>
      <x:c r="M137" s="3" t="str">
        <x:v>현재 맞아요, 일정에 추가할게요 → 사진 선택 → 별도 일정에 추가하기 구조다. 한 번의 최종 확인 흐름 미반영. 코드 검토 기준 차단.</x:v>
      </x:c>
      <x:c r="N137" s="11" t="str">
        <x:v>현재 맞아요, 일정에 추가할게요 → 사진 선택 → 별도 일정에 추가하기 구조다. 한 번의 최종 확인 흐름 미반영. 코드 검토 기준 차단.</x:v>
      </x:c>
      <x:c r="O137" s="11" t="str">
        <x:v>영문 리소스·언어 선택 미구현. EN 지원 빌드 필요.</x:v>
      </x:c>
      <x:c r="P137" s="11" t="str"/>
      <x:c r="Q137" s="12"/>
      <x:c r="R137" s="12"/>
      <x:c r="S137" s="11" t="str"/>
      <x:c r="T137" s="11" t="str"/>
      <x:c r="U137" s="11" t="str"/>
    </x:row>
    <x:row r="138" ht="97.5" customHeight="1">
      <x:c r="A138" s="3" t="str">
        <x:v>TC-081</x:v>
      </x:c>
      <x:c r="B138" s="3" t="str">
        <x:v>P0</x:v>
      </x:c>
      <x:c r="C138" s="3" t="str">
        <x:v>기능</x:v>
      </x:c>
      <x:c r="D138" s="11" t="str">
        <x:v>미실행</x:v>
      </x:c>
      <x:c r="E138" s="11" t="str">
        <x:v>차단</x:v>
      </x:c>
      <x:c r="F138" s="3" t="str">
        <x:v>영수증 확인</x:v>
      </x:c>
      <x:c r="G138" s="3" t="str">
        <x:v>정보 아니요는 수정으로 이동</x:v>
      </x:c>
      <x:c r="H138" s="3" t="str">
        <x:v>KO·EN</x:v>
      </x:c>
      <x:c r="I138" s="3" t="str">
        <x:v>Android APK</x:v>
      </x:c>
      <x:c r="J138" s="3" t="str">
        <x:v>인식 후보에 틀린 메뉴 또는 금액 한 개</x:v>
      </x:c>
      <x:c r="K138" s="3" t="str">
        <x:v>1. 아니요, 수정할게요 선택
2. 수정 영역 이동 확인
3. 한 항목 수정
4. 재확인 전 등록 시도</x:v>
      </x:c>
      <x:c r="L138" s="3" t="str">
        <x:v>수정 영역으로 돌아가고 확인하지 않은 후보를 저장하지 않는다. 나머지 인식값·원본·DAY를 유지한다. 최종 재확인 뒤에만 저장한다.</x:v>
      </x:c>
      <x:c r="M138" s="3" t="str"/>
      <x:c r="N138" s="11" t="str"/>
      <x:c r="O138" s="11" t="str">
        <x:v>영문 리소스·언어 선택 미구현. EN 지원 빌드 필요.</x:v>
      </x:c>
      <x:c r="P138" s="11" t="str"/>
      <x:c r="Q138" s="12"/>
      <x:c r="R138" s="12"/>
      <x:c r="S138" s="11" t="str"/>
      <x:c r="T138" s="11" t="str"/>
      <x:c r="U138" s="11" t="str"/>
    </x:row>
    <x:row r="139" ht="97.5" customHeight="1">
      <x:c r="A139" s="3" t="str">
        <x:v>TC-082</x:v>
      </x:c>
      <x:c r="B139" s="3" t="str">
        <x:v>P0</x:v>
      </x:c>
      <x:c r="C139" s="3" t="str">
        <x:v>기능</x:v>
      </x:c>
      <x:c r="D139" s="11" t="str">
        <x:v>미실행</x:v>
      </x:c>
      <x:c r="E139" s="11" t="str">
        <x:v>차단</x:v>
      </x:c>
      <x:c r="F139" s="3" t="str">
        <x:v>사진 보관</x:v>
      </x:c>
      <x:c r="G139" s="3" t="str">
        <x:v>네 선택 후 비공개 원본 조회</x:v>
      </x:c>
      <x:c r="H139" s="3" t="str">
        <x:v>KO·EN</x:v>
      </x:c>
      <x:c r="I139" s="3" t="str">
        <x:v>Android APK</x:v>
      </x:c>
      <x:c r="J139" s="3" t="str">
        <x:v>QA 여행에 A 소유자·B 멤버·C 비멤버. 미등록 영수증</x:v>
      </x:c>
      <x:c r="K139" s="3" t="str">
        <x:v>1. 정보 확인
2. 네, 사진도 보관할게요
3. 최종 저장
4. A/B/C로 원본 조회</x:v>
      </x:c>
      <x:c r="L139" s="3" t="str">
        <x:v>일정과 지출은 한 번 생성되고 A/B가 원본을 다시 볼 수 있다. C·익명·일반 커뮤니티 이용자는 원본을 볼 수 없다. 커뮤니티 공개와 원본 보관은 독립된 선택이다.</x:v>
      </x:c>
      <x:c r="M139" s="3" t="str"/>
      <x:c r="N139" s="11" t="str"/>
      <x:c r="O139" s="11" t="str">
        <x:v>영문 리소스·언어 선택 미구현. EN 지원 빌드 필요.</x:v>
      </x:c>
      <x:c r="P139" s="11" t="str"/>
      <x:c r="Q139" s="12"/>
      <x:c r="R139" s="12"/>
      <x:c r="S139" s="11" t="str"/>
      <x:c r="T139" s="11" t="str"/>
      <x:c r="U139" s="11" t="str"/>
    </x:row>
    <x:row r="140" ht="97.5" customHeight="1">
      <x:c r="A140" s="3" t="str">
        <x:v>TC-083</x:v>
      </x:c>
      <x:c r="B140" s="3" t="str">
        <x:v>P0</x:v>
      </x:c>
      <x:c r="C140" s="3" t="str">
        <x:v>기능</x:v>
      </x:c>
      <x:c r="D140" s="11" t="str">
        <x:v>미실행</x:v>
      </x:c>
      <x:c r="E140" s="11" t="str">
        <x:v>차단</x:v>
      </x:c>
      <x:c r="F140" s="3" t="str">
        <x:v>사진 보관</x:v>
      </x:c>
      <x:c r="G140" s="3" t="str">
        <x:v>아니요 선택 후 인식용 원본 삭제</x:v>
      </x:c>
      <x:c r="H140" s="3" t="str">
        <x:v>KO·EN</x:v>
      </x:c>
      <x:c r="I140" s="3" t="str">
        <x:v>Android APK</x:v>
      </x:c>
      <x:c r="J140" s="3" t="str">
        <x:v>미등록 영수증. QA 전용 관리자 검증 환경</x:v>
      </x:c>
      <x:c r="K140" s="3" t="str">
        <x:v>1. 아니요, 정보만 저장할게요
2. 최종 저장
3. 일정·메뉴·비용 재조회
4. 원본 API·업로드 재등록·R2 삭제 확인</x:v>
      </x:c>
      <x:c r="L140" s="3" t="str">
        <x:v>장소·메뉴·결제 일시·실제 지출을 유지한다. 원본 media 연결과 R2 인식용 사진을 삭제하고 재등록·재조회가 차단된다. 원본 삭제 실패를 완료로 안내하지 않는다. QA 관리 검증은 증거에 비밀 값을 넣지 않는다.</x:v>
      </x:c>
      <x:c r="M140" s="3" t="str"/>
      <x:c r="N140" s="11" t="str"/>
      <x:c r="O140" s="11" t="str">
        <x:v>영문 리소스·언어 선택 미구현. EN 지원 빌드 필요.</x:v>
      </x:c>
      <x:c r="P140" s="11" t="str"/>
      <x:c r="Q140" s="12"/>
      <x:c r="R140" s="12"/>
      <x:c r="S140" s="11" t="str"/>
      <x:c r="T140" s="11" t="str"/>
      <x:c r="U140" s="11" t="str"/>
    </x:row>
    <x:row r="141" ht="97.5" customHeight="1">
      <x:c r="A141" s="3" t="str">
        <x:v>TC-084</x:v>
      </x:c>
      <x:c r="B141" s="3" t="str">
        <x:v>P1</x:v>
      </x:c>
      <x:c r="C141" s="3" t="str">
        <x:v>기능</x:v>
      </x:c>
      <x:c r="D141" s="11" t="str">
        <x:v>미실행</x:v>
      </x:c>
      <x:c r="E141" s="11" t="str">
        <x:v>차단</x:v>
      </x:c>
      <x:c r="F141" s="3" t="str">
        <x:v>사진 보관</x:v>
      </x:c>
      <x:c r="G141" s="3" t="str">
        <x:v>사진 선택 변경과 기본 선택</x:v>
      </x:c>
      <x:c r="H141" s="3" t="str">
        <x:v>KO·EN</x:v>
      </x:c>
      <x:c r="I141" s="3" t="str">
        <x:v>Android APK</x:v>
      </x:c>
      <x:c r="J141" s="3" t="str">
        <x:v>사진 보관 질문 표시 상태</x:v>
      </x:c>
      <x:c r="K141" s="3" t="str">
        <x:v>1. 아무 선택 없이 저장 시도
2. 네에서 아니요로 변경
3. 아니요에서 네로 변경
4. 마지막 선택 후 저장</x:v>
      </x:c>
      <x:c r="L141" s="3" t="str">
        <x:v>미선택을 동의로 처리하지 않는다. 마지막 명시 선택만 실제 저장에 적용되고 안내·사진 연결·원본 보관이 동일하다.</x:v>
      </x:c>
      <x:c r="M141" s="3" t="str"/>
      <x:c r="N141" s="11" t="str"/>
      <x:c r="O141" s="11" t="str">
        <x:v>영문 리소스·언어 선택 미구현. EN 지원 빌드 필요.</x:v>
      </x:c>
      <x:c r="P141" s="11" t="str"/>
      <x:c r="Q141" s="12"/>
      <x:c r="R141" s="12"/>
      <x:c r="S141" s="11" t="str"/>
      <x:c r="T141" s="11" t="str"/>
      <x:c r="U141" s="11" t="str"/>
    </x:row>
    <x:row r="142" ht="97.5" customHeight="1">
      <x:c r="A142" s="3" t="str">
        <x:v>TC-085</x:v>
      </x:c>
      <x:c r="B142" s="3" t="str">
        <x:v>P1</x:v>
      </x:c>
      <x:c r="C142" s="3" t="str">
        <x:v>기능</x:v>
      </x:c>
      <x:c r="D142" s="11" t="str">
        <x:v>미실행</x:v>
      </x:c>
      <x:c r="E142" s="11" t="str">
        <x:v>차단</x:v>
      </x:c>
      <x:c r="F142" s="3" t="str">
        <x:v>여행 타임라인</x:v>
      </x:c>
      <x:c r="G142" s="3" t="str">
        <x:v>등록된 장소·사진·실제 지출</x:v>
      </x:c>
      <x:c r="H142" s="3" t="str">
        <x:v>KO·EN</x:v>
      </x:c>
      <x:c r="I142" s="3" t="str">
        <x:v>Android APK</x:v>
      </x:c>
      <x:c r="J142" s="3" t="str">
        <x:v>일정에 직접 등록한 사진·영수증 원본·실제/예상 비용 존재</x:v>
      </x:c>
      <x:c r="K142" s="3" t="str">
        <x:v>1. DAY와 일정 카드 확인
2. 사진·주소·메모·실제 지출 대조
3. 일정 관리 펼치고 수정
4. 다른 DAY 확인</x:v>
      </x:c>
      <x:c r="L142" s="3" t="str">
        <x:v>카드가 해당 일정의 실제 내용을 보여준다. 여행 사진과 영수증 원본을 혼동하지 않는다. 예상 비용을 실제 지출처럼 합산하지 않는다. 수정·사진 관리 버튼은 해당 일정에만 적용한다.</x:v>
      </x:c>
      <x:c r="M142" s="3" t="str"/>
      <x:c r="N142" s="11" t="str"/>
      <x:c r="O142" s="11" t="str">
        <x:v>영문 리소스·언어 선택 미구현. EN 지원 빌드 필요.</x:v>
      </x:c>
      <x:c r="P142" s="11" t="str"/>
      <x:c r="Q142" s="12"/>
      <x:c r="R142" s="12"/>
      <x:c r="S142" s="11" t="str"/>
      <x:c r="T142" s="11" t="str"/>
      <x:c r="U142" s="11" t="str"/>
    </x:row>
    <x:row r="143" ht="97.5" customHeight="1">
      <x:c r="A143" s="3" t="str">
        <x:v>TC-086</x:v>
      </x:c>
      <x:c r="B143" s="3" t="str">
        <x:v>P0</x:v>
      </x:c>
      <x:c r="C143" s="3" t="str">
        <x:v>기능</x:v>
      </x:c>
      <x:c r="D143" s="11" t="str">
        <x:v>미실행</x:v>
      </x:c>
      <x:c r="E143" s="11" t="str">
        <x:v>차단</x:v>
      </x:c>
      <x:c r="F143" s="3" t="str">
        <x:v>공개 범위</x:v>
      </x:c>
      <x:c r="G143" s="3" t="str">
        <x:v>영수증 원본은 커뮤니티 제외</x:v>
      </x:c>
      <x:c r="H143" s="3" t="str">
        <x:v>KO·EN</x:v>
      </x:c>
      <x:c r="I143" s="3" t="str">
        <x:v>Android APK</x:v>
      </x:c>
      <x:c r="J143" s="3" t="str">
        <x:v>사진 보관으로 등록한 영수증과 일반 여행 사진 1개</x:v>
      </x:c>
      <x:c r="K143" s="3" t="str">
        <x:v>1. 여행 완료 후 발자국 작성
2. 일정·비용·사진 공개 선택
3. 다른 계정과 익명으로 게시글 확인
4. 영수증 원본 접근 시도</x:v>
      </x:c>
      <x:c r="L143" s="3" t="str">
        <x:v>선택한 일정·일반 사진·비용만 공개한다. 카드번호·개인정보가 있을 수 있는 영수증 원본은 공개 갤러리에 나오지 않고 원본 주소 직접 접근도 차단한다.</x:v>
      </x:c>
      <x:c r="M143" s="3" t="str"/>
      <x:c r="N143" s="11" t="str"/>
      <x:c r="O143" s="11" t="str">
        <x:v>영문 리소스·언어 선택 미구현. EN 지원 빌드 필요.</x:v>
      </x:c>
      <x:c r="P143" s="11" t="str"/>
      <x:c r="Q143" s="12"/>
      <x:c r="R143" s="12"/>
      <x:c r="S143" s="11" t="str"/>
      <x:c r="T143" s="11" t="str"/>
      <x:c r="U143" s="11" t="str"/>
    </x:row>
    <x:row r="144" ht="97.5" customHeight="1">
      <x:c r="A144" s="3" t="str">
        <x:v>TC-087</x:v>
      </x:c>
      <x:c r="B144" s="3" t="str">
        <x:v>P0</x:v>
      </x:c>
      <x:c r="C144" s="3" t="str">
        <x:v>기능</x:v>
      </x:c>
      <x:c r="D144" s="11" t="str">
        <x:v>미실행</x:v>
      </x:c>
      <x:c r="E144" s="11" t="str">
        <x:v>차단</x:v>
      </x:c>
      <x:c r="F144" s="3" t="str">
        <x:v>중복 저장</x:v>
      </x:c>
      <x:c r="G144" s="3" t="str">
        <x:v>응답 유실 후 동일 등록 재시도</x:v>
      </x:c>
      <x:c r="H144" s="3" t="str">
        <x:v>KO·EN</x:v>
      </x:c>
      <x:c r="I144" s="3" t="str">
        <x:v>Android APK</x:v>
      </x:c>
      <x:c r="J144" s="3" t="str">
        <x:v>QA 네트워크에서 저장 완료 응답만 유실. 미등록 후보</x:v>
      </x:c>
      <x:c r="K144" s="3" t="str">
        <x:v>1. 최종 등록
2. 완료 응답 유실
3. 같은 후보 저장 재시도
4. 일정·비용·사진·DAY 개수 대조</x:v>
      </x:c>
      <x:c r="L144" s="3" t="str">
        <x:v>첫 저장이 서버에서 완료되었어도 재시도로 중복 일정·지출·사진을 만들지 않는다. 사진 미보관 삭제도 안전하게 재시도하며 완료된 정보가 사라지지 않는다.</x:v>
      </x:c>
      <x:c r="M144" s="3" t="str"/>
      <x:c r="N144" s="11" t="str"/>
      <x:c r="O144" s="11" t="str">
        <x:v>영문 리소스·언어 선택 미구현. EN 지원 빌드 필요.</x:v>
      </x:c>
      <x:c r="P144" s="11" t="str"/>
      <x:c r="Q144" s="12"/>
      <x:c r="R144" s="12"/>
      <x:c r="S144" s="11" t="str"/>
      <x:c r="T144" s="11" t="str"/>
      <x:c r="U144" s="11" t="str"/>
    </x:row>
    <x:row r="145" ht="97.5" customHeight="1">
      <x:c r="A145" s="3" t="str">
        <x:v>TC-088</x:v>
      </x:c>
      <x:c r="B145" s="3" t="str">
        <x:v>P1</x:v>
      </x:c>
      <x:c r="C145" s="3" t="str">
        <x:v>기능</x:v>
      </x:c>
      <x:c r="D145" s="11" t="str">
        <x:v>미실행</x:v>
      </x:c>
      <x:c r="E145" s="11" t="str">
        <x:v>차단</x:v>
      </x:c>
      <x:c r="F145" s="3" t="str">
        <x:v>취소</x:v>
      </x:c>
      <x:c r="G145" s="3" t="str">
        <x:v>스캔 후 미등록 후보 취소</x:v>
      </x:c>
      <x:c r="H145" s="3" t="str">
        <x:v>KO·EN</x:v>
      </x:c>
      <x:c r="I145" s="3" t="str">
        <x:v>Android APK</x:v>
      </x:c>
      <x:c r="J145" s="3" t="str">
        <x:v>인식 완료했으나 최종 등록 전. QA 사진 저장 상태 관찰</x:v>
      </x:c>
      <x:c r="K145" s="3" t="str">
        <x:v>1. 뒤로가기·닫기
2. 같은 여행 재조회
3. 다른 여행으로 이동
4. 인식용 사진의 보관·삭제 정책 대조</x:v>
      </x:c>
      <x:c r="L145" s="3" t="str">
        <x:v>확인 없이 일정·지출을 추가하지 않는다. 임시 사진의 실제 처리 상태와 안내가 일치한다. 이전 후보가 다른 여행에 섞이지 않는다. 폐기 사진을 무기한 보관하지 않는지 실제 정책을 확인한다.</x:v>
      </x:c>
      <x:c r="M145" s="3" t="str"/>
      <x:c r="N145" s="11" t="str"/>
      <x:c r="O145" s="11" t="str">
        <x:v>영문 리소스·언어 선택 미구현. EN 지원 빌드 필요.</x:v>
      </x:c>
      <x:c r="P145" s="11" t="str"/>
      <x:c r="Q145" s="12"/>
      <x:c r="R145" s="12"/>
      <x:c r="S145" s="11" t="str"/>
      <x:c r="T145" s="11" t="str"/>
      <x:c r="U145" s="11" t="str"/>
    </x:row>
    <x:row r="146" ht="97.5" customHeight="1">
      <x:c r="A146" s="3" t="str">
        <x:v>TC-089</x:v>
      </x:c>
      <x:c r="B146" s="3" t="str">
        <x:v>P1</x:v>
      </x:c>
      <x:c r="C146" s="3" t="str">
        <x:v>기능</x:v>
      </x:c>
      <x:c r="D146" s="11" t="str">
        <x:v>미실행</x:v>
      </x:c>
      <x:c r="E146" s="11" t="str">
        <x:v>차단</x:v>
      </x:c>
      <x:c r="F146" s="3" t="str">
        <x:v>하루</x:v>
      </x:c>
      <x:c r="G146" s="3" t="str">
        <x:v>로딩·빈 기록·오류 의미 구분</x:v>
      </x:c>
      <x:c r="H146" s="3" t="str">
        <x:v>KO·EN</x:v>
      </x:c>
      <x:c r="I146" s="3" t="str">
        <x:v>Android APK</x:v>
      </x:c>
      <x:c r="J146" s="3" t="str">
        <x:v>조회 지연·0건·조회 오류를 QA 환경에서 각각 재현</x:v>
      </x:c>
      <x:c r="K146" s="3" t="str">
        <x:v>1. 로딩 상태 확인
2. 빈 기록 상태 확인
3. 오류 상태 확인
4. 복구 버튼 실행</x:v>
      </x:c>
      <x:c r="L146" s="3" t="str">
        <x:v>하루가 각 상태에 맞는 안내와 행동을 보여준다. 로딩을 빈 기록 또는 성공으로 표시하지 않는다. 애니메이션 때문에 화면이 반복 초기화되거나 버튼이 이동하지 않는다.</x:v>
      </x:c>
      <x:c r="M146" s="3" t="str"/>
      <x:c r="N146" s="11" t="str"/>
      <x:c r="O146" s="11" t="str">
        <x:v>영문 리소스·언어 선택 미구현. EN 지원 빌드 필요.</x:v>
      </x:c>
      <x:c r="P146" s="11" t="str"/>
      <x:c r="Q146" s="12"/>
      <x:c r="R146" s="12"/>
      <x:c r="S146" s="11" t="str"/>
      <x:c r="T146" s="11" t="str"/>
      <x:c r="U146" s="11" t="str"/>
    </x:row>
    <x:row r="147" ht="97.5" customHeight="1">
      <x:c r="A147" s="3" t="str">
        <x:v>TC-090</x:v>
      </x:c>
      <x:c r="B147" s="3" t="str">
        <x:v>P1</x:v>
      </x:c>
      <x:c r="C147" s="3" t="str">
        <x:v>기능</x:v>
      </x:c>
      <x:c r="D147" s="11" t="str">
        <x:v>미실행</x:v>
      </x:c>
      <x:c r="E147" s="11" t="str">
        <x:v>차단</x:v>
      </x:c>
      <x:c r="F147" s="3" t="str">
        <x:v>일정 관리</x:v>
      </x:c>
      <x:c r="G147" s="3" t="str">
        <x:v>관리 펼침과 실제 일정 유지</x:v>
      </x:c>
      <x:c r="H147" s="3" t="str">
        <x:v>KO·EN</x:v>
      </x:c>
      <x:c r="I147" s="3" t="str">
        <x:v>Android APK</x:v>
      </x:c>
      <x:c r="J147" s="3" t="str">
        <x:v>DAY에 일정 2개와 사진·비용 존재</x:v>
      </x:c>
      <x:c r="K147" s="3" t="str">
        <x:v>1. 첫 일정의 일정 관리 열기
2. 수정·사진 추가·삭제 진입 후 취소
3. 두 번째 일정 관리 확인</x:v>
      </x:c>
      <x:c r="L147" s="3" t="str">
        <x:v>첫 일정 작업이 다른 카드에 적용되지 않는다. 취소 후 시간·주소·사진·비용을 유지한다. 관리 영역을 닫아도 일정 순서와 선택 DAY가 바뀌지 않는다.</x:v>
      </x:c>
      <x:c r="M147" s="3" t="str"/>
      <x:c r="N147" s="11" t="str"/>
      <x:c r="O147" s="11" t="str">
        <x:v>영문 리소스·언어 선택 미구현. EN 지원 빌드 필요.</x:v>
      </x:c>
      <x:c r="P147" s="11" t="str"/>
      <x:c r="Q147" s="12"/>
      <x:c r="R147" s="12"/>
      <x:c r="S147" s="11" t="str"/>
      <x:c r="T147" s="11" t="str"/>
      <x:c r="U147" s="11" t="str"/>
    </x:row>
    <x:row r="148" ht="97.5" customHeight="1">
      <x:c r="A148" s="3" t="str">
        <x:v>TC-091</x:v>
      </x:c>
      <x:c r="B148" s="3" t="str">
        <x:v>P0</x:v>
      </x:c>
      <x:c r="C148" s="3" t="str">
        <x:v>기능</x:v>
      </x:c>
      <x:c r="D148" s="11" t="str">
        <x:v>미실행</x:v>
      </x:c>
      <x:c r="E148" s="11" t="str">
        <x:v>차단</x:v>
      </x:c>
      <x:c r="F148" s="3" t="str">
        <x:v>네이티브 UX</x:v>
      </x:c>
      <x:c r="G148" s="3" t="str">
        <x:v>고정 행동과 Android 안전 영역</x:v>
      </x:c>
      <x:c r="H148" s="3" t="str">
        <x:v>KO·EN</x:v>
      </x:c>
      <x:c r="I148" s="3" t="str">
        <x:v>Android APK</x:v>
      </x:c>
      <x:c r="J148" s="3" t="str">
        <x:v>320/360/390dp 기기, 제스처 및 3버튼 탐색</x:v>
      </x:c>
      <x:c r="K148" s="3" t="str">
        <x:v>1. 긴 타임라인 끝까지 스크롤
2. 일정 추가·영수증 촬영·앨범 선택
3. 키보드 열고 닫기
4. 시스템 뒤로가기</x:v>
      </x:c>
      <x:c r="L148" s="3" t="str">
        <x:v>고정 행동이 마지막 카드·탭·시스템 탐색 영역을 가리지 않는다. 버튼 터치가 실제 기능으로 이어지고 키보드 또는 처리 중 중복 실행이 없다.</x:v>
      </x:c>
      <x:c r="M148" s="3" t="str"/>
      <x:c r="N148" s="11" t="str"/>
      <x:c r="O148" s="11" t="str">
        <x:v>영문 리소스·언어 선택 미구현. EN 지원 빌드 필요.</x:v>
      </x:c>
      <x:c r="P148" s="11" t="str"/>
      <x:c r="Q148" s="12"/>
      <x:c r="R148" s="12"/>
      <x:c r="S148" s="11" t="str"/>
      <x:c r="T148" s="11" t="str"/>
      <x:c r="U148" s="11" t="str"/>
    </x:row>
    <x:row r="149" ht="97.5" customHeight="1">
      <x:c r="A149" s="3" t="str">
        <x:v>TC-092</x:v>
      </x:c>
      <x:c r="B149" s="3" t="str">
        <x:v>P0</x:v>
      </x:c>
      <x:c r="C149" s="3" t="str">
        <x:v>기능</x:v>
      </x:c>
      <x:c r="D149" s="11" t="str">
        <x:v>미실행</x:v>
      </x:c>
      <x:c r="E149" s="11" t="str">
        <x:v>차단</x:v>
      </x:c>
      <x:c r="F149" s="3" t="str">
        <x:v>날짜</x:v>
      </x:c>
      <x:c r="G149" s="3" t="str">
        <x:v>현지 결제일과 DAY 유지</x:v>
      </x:c>
      <x:c r="H149" s="3" t="str">
        <x:v>KO·EN</x:v>
      </x:c>
      <x:c r="I149" s="3" t="str">
        <x:v>Android APK</x:v>
      </x:c>
      <x:c r="J149" s="3" t="str">
        <x:v>TD-02 여행 및 원본. 기기 시간대 서울/런던</x:v>
      </x:c>
      <x:c r="K149" s="3" t="str">
        <x:v>1. 인식 후보의 날짜 확인
2. 기기 시간대 변경 후 재실행
3. DAY3와 다이어리 확인</x:v>
      </x:c>
      <x:c r="L149" s="3" t="str">
        <x:v>현지 날짜 2026-09-28과 결제 16:36이 유지된다. 기기 시간대 때문에 DAY2/DAY4로 이동하지 않고 영수증 날짜를 오늘 날짜로 대체하지 않는다.</x:v>
      </x:c>
      <x:c r="M149" s="3" t="str"/>
      <x:c r="N149" s="11" t="str"/>
      <x:c r="O149" s="11" t="str">
        <x:v>영문 리소스·언어 선택 미구현. EN 지원 빌드 필요.</x:v>
      </x:c>
      <x:c r="P149" s="11" t="str"/>
      <x:c r="Q149" s="12"/>
      <x:c r="R149" s="12"/>
      <x:c r="S149" s="11" t="str"/>
      <x:c r="T149" s="11" t="str"/>
      <x:c r="U149" s="11" t="str"/>
    </x:row>
    <x:row r="150" ht="97.5" customHeight="1">
      <x:c r="A150" s="3" t="str">
        <x:v>TC-093</x:v>
      </x:c>
      <x:c r="B150" s="3" t="str">
        <x:v>P0</x:v>
      </x:c>
      <x:c r="C150" s="3" t="str">
        <x:v>기능</x:v>
      </x:c>
      <x:c r="D150" s="11" t="str">
        <x:v>미실행</x:v>
      </x:c>
      <x:c r="E150" s="11" t="str">
        <x:v>차단</x:v>
      </x:c>
      <x:c r="F150" s="3" t="str">
        <x:v>금액</x:v>
      </x:c>
      <x:c r="G150" s="3" t="str">
        <x:v>혼합 통화와 환율 과장 없음</x:v>
      </x:c>
      <x:c r="H150" s="3" t="str">
        <x:v>KO·EN</x:v>
      </x:c>
      <x:c r="I150" s="3" t="str">
        <x:v>Android APK</x:v>
      </x:c>
      <x:c r="J150" s="3" t="str">
        <x:v>JPY 2450·USD 12.34·KRW 18000 실제 비용</x:v>
      </x:c>
      <x:c r="K150" s="3" t="str">
        <x:v>1. 비용 목록·타임라인·다이어리 대조
2. 기본 통화 변경
3. 재실행</x:v>
      </x:c>
      <x:c r="L150" s="3" t="str">
        <x:v>통화별 정확한 합계를 유지한다. 환율 기능이 없으면 서로 다른 통화를 단순 합산·자동 환산하지 않는다. 기본 통화 변경이 기존 지출 통화를 바꾸지 않는다.</x:v>
      </x:c>
      <x:c r="M150" s="3" t="str"/>
      <x:c r="N150" s="11" t="str"/>
      <x:c r="O150" s="11" t="str">
        <x:v>영문 리소스·언어 선택 미구현. EN 지원 빌드 필요.</x:v>
      </x:c>
      <x:c r="P150" s="11" t="str"/>
      <x:c r="Q150" s="12"/>
      <x:c r="R150" s="12"/>
      <x:c r="S150" s="11" t="str"/>
      <x:c r="T150" s="11" t="str"/>
      <x:c r="U150" s="11" t="str"/>
    </x:row>
    <x:row r="151" ht="97.5" customHeight="1">
      <x:c r="A151" s="3" t="str">
        <x:v>TC-094</x:v>
      </x:c>
      <x:c r="B151" s="3" t="str">
        <x:v>P1</x:v>
      </x:c>
      <x:c r="C151" s="3" t="str">
        <x:v>기능</x:v>
      </x:c>
      <x:c r="D151" s="11" t="str">
        <x:v>미실행</x:v>
      </x:c>
      <x:c r="E151" s="11" t="str">
        <x:v>차단</x:v>
      </x:c>
      <x:c r="F151" s="3" t="str">
        <x:v>항공</x:v>
      </x:c>
      <x:c r="G151" s="3" t="str">
        <x:v>출국·귀국 일시와 현지 날짜</x:v>
      </x:c>
      <x:c r="H151" s="3" t="str">
        <x:v>KO·EN</x:v>
      </x:c>
      <x:c r="I151" s="3" t="str">
        <x:v>Android APK</x:v>
      </x:c>
      <x:c r="J151" s="3" t="str">
        <x:v>서로 다른 시간대 출국·귀국. 자정 도착 또는 다음날 도착</x:v>
      </x:c>
      <x:c r="K151" s="3" t="str">
        <x:v>1. 항공을 추가해 여행 생성
2. 출발·도착 공항과 날짜·시간 조회
3. 수정·재실행
4. 항공 없이 만든 여행과 비교</x:v>
      </x:c>
      <x:c r="L151" s="3" t="str">
        <x:v>저장한 항공 코드·공항·출발·도착 날짜를 유지한다. 자정 이동을 임의 DAY에 덮어쓰지 않는다. 항공 미등록이 여행 생성과 일정 등록을 막지 않는다.</x:v>
      </x:c>
      <x:c r="M151" s="3" t="str"/>
      <x:c r="N151" s="11" t="str"/>
      <x:c r="O151" s="11" t="str">
        <x:v>영문 리소스·언어 선택 미구현. EN 지원 빌드 필요.</x:v>
      </x:c>
      <x:c r="P151" s="11" t="str"/>
      <x:c r="Q151" s="12"/>
      <x:c r="R151" s="12"/>
      <x:c r="S151" s="11" t="str"/>
      <x:c r="T151" s="11" t="str"/>
      <x:c r="U151" s="11" t="str"/>
    </x:row>
    <x:row r="152" ht="97.5" customHeight="1">
      <x:c r="A152" s="3" t="str">
        <x:v>TC-095</x:v>
      </x:c>
      <x:c r="B152" s="3" t="str">
        <x:v>P1</x:v>
      </x:c>
      <x:c r="C152" s="3" t="str">
        <x:v>기능</x:v>
      </x:c>
      <x:c r="D152" s="11" t="str">
        <x:v>미실행</x:v>
      </x:c>
      <x:c r="E152" s="11" t="str">
        <x:v>차단</x:v>
      </x:c>
      <x:c r="F152" s="3" t="str">
        <x:v>지도</x:v>
      </x:c>
      <x:c r="G152" s="3" t="str">
        <x:v>공유 링크와 외부 지도 연결</x:v>
      </x:c>
      <x:c r="H152" s="3" t="str">
        <x:v>KO·EN</x:v>
      </x:c>
      <x:c r="I152" s="3" t="str">
        <x:v>Android APK</x:v>
      </x:c>
      <x:c r="J152" s="3" t="str">
        <x:v>Google Maps 정상 단일 장소 링크. 연결되지 않은 장소 검색</x:v>
      </x:c>
      <x:c r="K152" s="3" t="str">
        <x:v>1. Maps에서 장소 공유
2. 앱에서 후보와 DAY 확인
3. 장소를 확인하고 등록
4. Google Maps 열기</x:v>
      </x:c>
      <x:c r="L152" s="3" t="str">
        <x:v>실제 공유된 단일 장소만 확인 후 등록한다. 외부 지도는 해당 장소 또는 사용자 검색어로 열린다. 조회 실패에서 가짜 장소·평점·거리·영업정보를 생성하지 않는다.</x:v>
      </x:c>
      <x:c r="M152" s="3" t="str">
        <x:v>Google Places 조회는 현재 연결 미완료. 단일 링크·외부 지도 경로는 검증하고 공급자 조회 성공은 연결 환경에서 별도 기록.</x:v>
      </x:c>
      <x:c r="N152" s="11" t="str"/>
      <x:c r="O152" s="11" t="str">
        <x:v>영문 리소스·언어 선택 미구현. EN 지원 빌드 필요.</x:v>
      </x:c>
      <x:c r="P152" s="11" t="str"/>
      <x:c r="Q152" s="12"/>
      <x:c r="R152" s="12"/>
      <x:c r="S152" s="11" t="str"/>
      <x:c r="T152" s="11" t="str"/>
      <x:c r="U152" s="11" t="str"/>
    </x:row>
    <x:row r="153" ht="97.5" customHeight="1">
      <x:c r="A153" s="3" t="str">
        <x:v>TC-096</x:v>
      </x:c>
      <x:c r="B153" s="3" t="str">
        <x:v>P1</x:v>
      </x:c>
      <x:c r="C153" s="3" t="str">
        <x:v>기능</x:v>
      </x:c>
      <x:c r="D153" s="11" t="str">
        <x:v>미실행</x:v>
      </x:c>
      <x:c r="E153" s="11" t="str">
        <x:v>차단</x:v>
      </x:c>
      <x:c r="F153" s="3" t="str">
        <x:v>지도 범위</x:v>
      </x:c>
      <x:c r="G153" s="3" t="str">
        <x:v>즐겨찾기 공유의 범위 설명</x:v>
      </x:c>
      <x:c r="H153" s="3" t="str">
        <x:v>KO·EN</x:v>
      </x:c>
      <x:c r="I153" s="3" t="str">
        <x:v>Android APK</x:v>
      </x:c>
      <x:c r="J153" s="3" t="str">
        <x:v>장소 1개 링크와 즐겨찾기 목록 링크 준비</x:v>
      </x:c>
      <x:c r="K153" s="3" t="str">
        <x:v>1. 두 링크를 각각 전달
2. 확인 화면과 안내 비교
3. 저장된 개수 확인</x:v>
      </x:c>
      <x:c r="L153" s="3" t="str">
        <x:v>지원하는 단일 장소만 추가한다. 전체 북마크 자동 동기화로 안내하지 않는다. 지원하지 않는 목록은 알기 쉽게 안내하며 실패를 성공으로 표시하지 않는다.</x:v>
      </x:c>
      <x:c r="M153" s="3" t="str">
        <x:v>전체 Google 북마크 동기화와 앱 내 지도 동선 화면은 현재 미구현. 단일 장소 가져오기와 구분.</x:v>
      </x:c>
      <x:c r="N153" s="11" t="str"/>
      <x:c r="O153" s="11" t="str">
        <x:v>영문 리소스·언어 선택 미구현. EN 지원 빌드 필요.</x:v>
      </x:c>
      <x:c r="P153" s="11" t="str"/>
      <x:c r="Q153" s="12"/>
      <x:c r="R153" s="12"/>
      <x:c r="S153" s="11" t="str"/>
      <x:c r="T153" s="11" t="str"/>
      <x:c r="U153" s="11" t="str"/>
    </x:row>
    <x:row r="154" ht="97.5" customHeight="1">
      <x:c r="A154" s="3" t="str">
        <x:v>TC-097</x:v>
      </x:c>
      <x:c r="B154" s="3" t="str">
        <x:v>P1</x:v>
      </x:c>
      <x:c r="C154" s="3" t="str">
        <x:v>기능</x:v>
      </x:c>
      <x:c r="D154" s="11" t="str">
        <x:v>미실행</x:v>
      </x:c>
      <x:c r="E154" s="11" t="str">
        <x:v>차단</x:v>
      </x:c>
      <x:c r="F154" s="3" t="str">
        <x:v>응답 UX</x:v>
      </x:c>
      <x:c r="G154" s="3" t="str">
        <x:v>영수증 지연과 처리 시간 측정</x:v>
      </x:c>
      <x:c r="H154" s="3" t="str">
        <x:v>KO·EN</x:v>
      </x:c>
      <x:c r="I154" s="3" t="str">
        <x:v>Android APK</x:v>
      </x:c>
      <x:c r="J154" s="3" t="str">
        <x:v>정상 사진·느린 네트워크·시간초과. 같은 QA 기기</x:v>
      </x:c>
      <x:c r="K154" s="3" t="str">
        <x:v>1. 촬영·업로드·인식·등록 단계 시간 기록
2. 지연 중 다른 행동·뒤로가기
3. 시간초과 후 재시도</x:v>
      </x:c>
      <x:c r="L154" s="3" t="str">
        <x:v>처리 단계와 다시 시도할 행동이 보인다. 무한 로딩·강제 종료·중복 저장이 없다. 단계별 시간·사진 크기·네트워크를 증거에 기록하고 실제 측정 없이 빠르다고 판정하지 않는다.</x:v>
      </x:c>
      <x:c r="M154" s="3" t="str"/>
      <x:c r="N154" s="11" t="str"/>
      <x:c r="O154" s="11" t="str">
        <x:v>영문 리소스·언어 선택 미구현. EN 지원 빌드 필요.</x:v>
      </x:c>
      <x:c r="P154" s="11" t="str"/>
      <x:c r="Q154" s="12"/>
      <x:c r="R154" s="12"/>
      <x:c r="S154" s="11" t="str"/>
      <x:c r="T154" s="11" t="str"/>
      <x:c r="U154" s="11" t="str"/>
    </x:row>
    <x:row r="155" ht="97.5" customHeight="1">
      <x:c r="A155" s="3" t="str">
        <x:v>TC-098</x:v>
      </x:c>
      <x:c r="B155" s="3" t="str">
        <x:v>P0</x:v>
      </x:c>
      <x:c r="C155" s="3" t="str">
        <x:v>기능</x:v>
      </x:c>
      <x:c r="D155" s="11" t="str">
        <x:v>미실행</x:v>
      </x:c>
      <x:c r="E155" s="11" t="str">
        <x:v>차단</x:v>
      </x:c>
      <x:c r="F155" s="3" t="str">
        <x:v>보안</x:v>
      </x:c>
      <x:c r="G155" s="3" t="str">
        <x:v>공개 링크와 직접 주소 접근</x:v>
      </x:c>
      <x:c r="H155" s="3" t="str">
        <x:v>KO·EN</x:v>
      </x:c>
      <x:c r="I155" s="3" t="str">
        <x:v>Android APK</x:v>
      </x:c>
      <x:c r="J155" s="3" t="str">
        <x:v>A 여행의 일정·사진·영수증·초대. C 비멤버</x:v>
      </x:c>
      <x:c r="K155" s="3" t="str">
        <x:v>1. 로그아웃 또는 C로 직접 주소 열기
2. 데이터 읽기·수정 요청
3. 공개 게시글만 조회</x:v>
      </x:c>
      <x:c r="L155" s="3" t="str">
        <x:v>비공개 여행과 영수증·사진을 읽거나 바꾸지 못한다. 공개된 게시글 범위만 조회된다. 오류·URL·캐시·뒤로가기에 다른 회원의 민감 정보가 나오지 않는다.</x:v>
      </x:c>
      <x:c r="M155" s="3" t="str"/>
      <x:c r="N155" s="11" t="str"/>
      <x:c r="O155" s="11" t="str">
        <x:v>영문 리소스·언어 선택 미구현. EN 지원 빌드 필요.</x:v>
      </x:c>
      <x:c r="P155" s="11" t="str"/>
      <x:c r="Q155" s="12"/>
      <x:c r="R155" s="12"/>
      <x:c r="S155" s="11" t="str"/>
      <x:c r="T155" s="11" t="str"/>
      <x:c r="U155" s="11" t="str"/>
    </x:row>
    <x:row r="156" ht="97.5" customHeight="1">
      <x:c r="A156" s="3" t="str">
        <x:v>TC-099</x:v>
      </x:c>
      <x:c r="B156" s="3" t="str">
        <x:v>P0</x:v>
      </x:c>
      <x:c r="C156" s="3" t="str">
        <x:v>기능</x:v>
      </x:c>
      <x:c r="D156" s="11" t="str">
        <x:v>미실행</x:v>
      </x:c>
      <x:c r="E156" s="11" t="str">
        <x:v>차단</x:v>
      </x:c>
      <x:c r="F156" s="3" t="str">
        <x:v>업데이트</x:v>
      </x:c>
      <x:c r="G156" s="3" t="str">
        <x:v>기존 기록을 유지한 새 APK 설치</x:v>
      </x:c>
      <x:c r="H156" s="3" t="str">
        <x:v>KO·EN</x:v>
      </x:c>
      <x:c r="I156" s="3" t="str">
        <x:v>Android APK</x:v>
      </x:c>
      <x:c r="J156" s="3" t="str">
        <x:v>기존 서명 APK에서 A의 실제 QA 여행·사진 저장</x:v>
      </x:c>
      <x:c r="K156" s="3" t="str">
        <x:v>1. 기존 앱에서 로그아웃하지 않고 새 APK 설치
2. 실행·로그인 상태 확인
3. 여행·사진·DAY·비용 대조
4. 새 여행 생성</x:v>
      </x:c>
      <x:c r="L156" s="3" t="str">
        <x:v>같은 패키지·서명으로 업데이트되고 기존 실제 기록을 보존한다. 더미 제거를 이유로 사용자 기록을 삭제하지 않는다. 새 소스의 브랜드·홈·영수증 확인 화면이 보인다.</x:v>
      </x:c>
      <x:c r="M156" s="3" t="str"/>
      <x:c r="N156" s="11" t="str"/>
      <x:c r="O156" s="11" t="str">
        <x:v>영문 리소스·언어 선택 미구현. EN 지원 빌드 필요.</x:v>
      </x:c>
      <x:c r="P156" s="11" t="str"/>
      <x:c r="Q156" s="12"/>
      <x:c r="R156" s="12"/>
      <x:c r="S156" s="11" t="str"/>
      <x:c r="T156" s="11" t="str"/>
      <x:c r="U156" s="11" t="str"/>
    </x:row>
    <x:row r="157" ht="97.5" customHeight="1">
      <x:c r="A157" s="3" t="str">
        <x:v>TC-100</x:v>
      </x:c>
      <x:c r="B157" s="3" t="str">
        <x:v>P1</x:v>
      </x:c>
      <x:c r="C157" s="3" t="str">
        <x:v>기능</x:v>
      </x:c>
      <x:c r="D157" s="11" t="str">
        <x:v>미실행</x:v>
      </x:c>
      <x:c r="E157" s="11" t="str">
        <x:v>차단</x:v>
      </x:c>
      <x:c r="F157" s="3" t="str">
        <x:v>입력 보존</x:v>
      </x:c>
      <x:c r="G157" s="3" t="str">
        <x:v>수정 중 키보드·재스캔·사진 변경</x:v>
      </x:c>
      <x:c r="H157" s="3" t="str">
        <x:v>KO·EN</x:v>
      </x:c>
      <x:c r="I157" s="3" t="str">
        <x:v>Android APK</x:v>
      </x:c>
      <x:c r="J157" s="3" t="str">
        <x:v>인식된 영수증의 메뉴 일부 수정. 키보드 표시</x:v>
      </x:c>
      <x:c r="K157" s="3" t="str">
        <x:v>1. 키보드 열고 정보 확인 영역 이동
2. 수정 후 재스캔 선택
3. 새 사진으로 변경
4. 저장 전 여행·DAY·금액 대조</x:v>
      </x:c>
      <x:c r="L157" s="3" t="str">
        <x:v>저장 버튼과 오류를 확인할 수 있다. 새 사진 결과가 이전 사진과 섞이지 않는다. 재스캔으로 바뀐 내용은 다시 확인하도록 하며 저장 전 손실·변경을 숨기지 않는다.</x:v>
      </x:c>
      <x:c r="M157" s="3" t="str"/>
      <x:c r="N157" s="11" t="str"/>
      <x:c r="O157" s="11" t="str">
        <x:v>영문 리소스·언어 선택 미구현. EN 지원 빌드 필요.</x:v>
      </x:c>
      <x:c r="P157" s="11" t="str"/>
      <x:c r="Q157" s="12"/>
      <x:c r="R157" s="12"/>
      <x:c r="S157" s="11" t="str"/>
      <x:c r="T157" s="11" t="str"/>
      <x:c r="U157" s="11" t="str"/>
    </x:row>
    <x:row r="158" ht="97.5" customHeight="1">
      <x:c r="A158" s="3" t="str">
        <x:v>TXT-027</x:v>
      </x:c>
      <x:c r="B158" s="3" t="str">
        <x:v>P0</x:v>
      </x:c>
      <x:c r="C158" s="3" t="str">
        <x:v>문구</x:v>
      </x:c>
      <x:c r="D158" s="11" t="str">
        <x:v>미실행</x:v>
      </x:c>
      <x:c r="E158" s="11" t="str">
        <x:v>차단</x:v>
      </x:c>
      <x:c r="F158" s="3" t="str">
        <x:v>영수증</x:v>
      </x:c>
      <x:c r="G158" s="3" t="str">
        <x:v>질문·선택·최종 저장 구별</x:v>
      </x:c>
      <x:c r="H158" s="3" t="str">
        <x:v>KO·EN</x:v>
      </x:c>
      <x:c r="I158" s="3" t="str">
        <x:v>Android APK</x:v>
      </x:c>
      <x:c r="J158" s="3" t="str">
        <x:v>정보 확인·사진 보관·최종 저장 화면</x:v>
      </x:c>
      <x:c r="K158" s="3" t="str">
        <x:v>1. 모든 질문과 네/아니요 문구 읽기
2. 각각 눌러 실제 저장 시점 확인</x:v>
      </x:c>
      <x:c r="L158" s="3" t="str">
        <x:v>정보가 맞는지 묻는 질문, 사진을 남길지 묻는 질문, 최종 일정 저장을 구별한다. 아직 저장하지 않은 선택 버튼이 저장 완료처럼 보이지 않는다.</x:v>
      </x:c>
      <x:c r="M158" s="3" t="str"/>
      <x:c r="N158" s="11" t="str"/>
      <x:c r="O158" s="11" t="str">
        <x:v>영문 리소스·언어 선택 미구현. EN 지원 빌드 필요.</x:v>
      </x:c>
      <x:c r="P158" s="11" t="str"/>
      <x:c r="Q158" s="12"/>
      <x:c r="R158" s="12"/>
      <x:c r="S158" s="11" t="str"/>
      <x:c r="T158" s="11" t="str"/>
      <x:c r="U158" s="11" t="str"/>
    </x:row>
    <x:row r="159" ht="97.5" customHeight="1">
      <x:c r="A159" s="3" t="str">
        <x:v>TXT-028</x:v>
      </x:c>
      <x:c r="B159" s="3" t="str">
        <x:v>P0</x:v>
      </x:c>
      <x:c r="C159" s="3" t="str">
        <x:v>문구</x:v>
      </x:c>
      <x:c r="D159" s="11" t="str">
        <x:v>미실행</x:v>
      </x:c>
      <x:c r="E159" s="11" t="str">
        <x:v>차단</x:v>
      </x:c>
      <x:c r="F159" s="3" t="str">
        <x:v>사진</x:v>
      </x:c>
      <x:c r="G159" s="3" t="str">
        <x:v>보관·삭제·공개 범위 문구</x:v>
      </x:c>
      <x:c r="H159" s="3" t="str">
        <x:v>KO·EN</x:v>
      </x:c>
      <x:c r="I159" s="3" t="str">
        <x:v>Android APK</x:v>
      </x:c>
      <x:c r="J159" s="3" t="str">
        <x:v>사진 보관 네/아니요와 커뮤니티 공개 선택</x:v>
      </x:c>
      <x:c r="K159" s="3" t="str">
        <x:v>1. 안내 읽기
2. 두 선택 각각 등록
3. 실제 사진 조회·삭제·공개 여부 대조</x:v>
      </x:c>
      <x:c r="L159" s="3" t="str">
        <x:v>보관하면 나와 해당 여행 친구가 원본을 본다는 점, 정보만 저장하면 등록 후 인식용 사진이 삭제된다는 점을 쉽게 안내한다. 사진 보관을 공개 동의로 표현하지 않는다.</x:v>
      </x:c>
      <x:c r="M159" s="3" t="str"/>
      <x:c r="N159" s="11" t="str"/>
      <x:c r="O159" s="11" t="str">
        <x:v>영문 리소스·언어 선택 미구현. EN 지원 빌드 필요.</x:v>
      </x:c>
      <x:c r="P159" s="11" t="str"/>
      <x:c r="Q159" s="12"/>
      <x:c r="R159" s="12"/>
      <x:c r="S159" s="11" t="str"/>
      <x:c r="T159" s="11" t="str"/>
      <x:c r="U159" s="11" t="str"/>
    </x:row>
    <x:row r="160" ht="97.5" customHeight="1">
      <x:c r="A160" s="3" t="str">
        <x:v>TXT-029</x:v>
      </x:c>
      <x:c r="B160" s="3" t="str">
        <x:v>P0</x:v>
      </x:c>
      <x:c r="C160" s="3" t="str">
        <x:v>문구</x:v>
      </x:c>
      <x:c r="D160" s="11" t="str">
        <x:v>미실행</x:v>
      </x:c>
      <x:c r="E160" s="11" t="str">
        <x:v>차단</x:v>
      </x:c>
      <x:c r="F160" s="3" t="str">
        <x:v>더미 제거</x:v>
      </x:c>
      <x:c r="G160" s="3" t="str">
        <x:v>예시 값을 실제 기록으로 오인하지 않음</x:v>
      </x:c>
      <x:c r="H160" s="3" t="str">
        <x:v>KO·EN</x:v>
      </x:c>
      <x:c r="I160" s="3" t="str">
        <x:v>Android APK</x:v>
      </x:c>
      <x:c r="J160" s="3" t="str">
        <x:v>기록 0개 계정과 입력 폼</x:v>
      </x:c>
      <x:c r="K160" s="3" t="str">
        <x:v>1. 홈·내 여행·발자국·피드 확인
2. 제목·주소·금액 placeholder 확인
3. 빈 폼 저장 시도</x:v>
      </x:c>
      <x:c r="L160" s="3" t="str">
        <x:v>예시 문자열은 입력 도움말로만 보이며 저장값이 아니다. 가상 친구·사진·날씨·지출·인기 수치가 실제 데이터처럼 표시되지 않는다.</x:v>
      </x:c>
      <x:c r="M160" s="3" t="str"/>
      <x:c r="N160" s="11" t="str"/>
      <x:c r="O160" s="11" t="str">
        <x:v>영문 리소스·언어 선택 미구현. EN 지원 빌드 필요.</x:v>
      </x:c>
      <x:c r="P160" s="11" t="str"/>
      <x:c r="Q160" s="12"/>
      <x:c r="R160" s="12"/>
      <x:c r="S160" s="11" t="str"/>
      <x:c r="T160" s="11" t="str"/>
      <x:c r="U160" s="11" t="str"/>
    </x:row>
    <x:row r="161" ht="97.5" customHeight="1">
      <x:c r="A161" s="3" t="str">
        <x:v>TXT-030</x:v>
      </x:c>
      <x:c r="B161" s="3" t="str">
        <x:v>P1</x:v>
      </x:c>
      <x:c r="C161" s="3" t="str">
        <x:v>문구</x:v>
      </x:c>
      <x:c r="D161" s="11" t="str">
        <x:v>미실행</x:v>
      </x:c>
      <x:c r="E161" s="11" t="str">
        <x:v>차단</x:v>
      </x:c>
      <x:c r="F161" s="3" t="str">
        <x:v>진행 상태</x:v>
      </x:c>
      <x:c r="G161" s="3" t="str">
        <x:v>촬영·업로드·스캔·등록 안내 정확</x:v>
      </x:c>
      <x:c r="H161" s="3" t="str">
        <x:v>KO·EN</x:v>
      </x:c>
      <x:c r="I161" s="3" t="str">
        <x:v>Android APK</x:v>
      </x:c>
      <x:c r="J161" s="3" t="str">
        <x:v>네트워크 지연·읽기 실패·저장 실패 각각 재현</x:v>
      </x:c>
      <x:c r="K161" s="3" t="str">
        <x:v>1. 단계별 메시지 읽기
2. 실패·취소·재시도
3. 실제 저장 데이터 확인</x:v>
      </x:c>
      <x:c r="L161" s="3" t="str">
        <x:v>사진 전송과 일정 등록을 같은 완료로 안내하지 않는다. 실패는 완료로 표시하지 않으며 원본·입력의 실제 보존 상태를 정확히 말한다.</x:v>
      </x:c>
      <x:c r="M161" s="3" t="str"/>
      <x:c r="N161" s="11" t="str"/>
      <x:c r="O161" s="11" t="str">
        <x:v>영문 리소스·언어 선택 미구현. EN 지원 빌드 필요.</x:v>
      </x:c>
      <x:c r="P161" s="11" t="str"/>
      <x:c r="Q161" s="12"/>
      <x:c r="R161" s="12"/>
      <x:c r="S161" s="11" t="str"/>
      <x:c r="T161" s="11" t="str"/>
      <x:c r="U161" s="11" t="str"/>
    </x:row>
    <x:row r="162" ht="97.5" customHeight="1">
      <x:c r="A162" s="3" t="str">
        <x:v>TXT-031</x:v>
      </x:c>
      <x:c r="B162" s="3" t="str">
        <x:v>P0</x:v>
      </x:c>
      <x:c r="C162" s="3" t="str">
        <x:v>문구</x:v>
      </x:c>
      <x:c r="D162" s="11" t="str">
        <x:v>미실행</x:v>
      </x:c>
      <x:c r="E162" s="11" t="str">
        <x:v>차단</x:v>
      </x:c>
      <x:c r="F162" s="3" t="str">
        <x:v>전체 화면</x:v>
      </x:c>
      <x:c r="G162" s="3" t="str">
        <x:v>개발자·설정·공급자 문구 전수 검사</x:v>
      </x:c>
      <x:c r="H162" s="3" t="str">
        <x:v>KO·EN</x:v>
      </x:c>
      <x:c r="I162" s="3" t="str">
        <x:v>Android APK</x:v>
      </x:c>
      <x:c r="J162" s="3" t="str">
        <x:v>정상·빈 기록·로딩·인증 만료·권한 오류 화면</x:v>
      </x:c>
      <x:c r="K162" s="3" t="str">
        <x:v>1. TC의 모든 화면·모달·오류 순회
2. DB/API/세션/연결 준비/fixture/stack/키 검사
3. 복구 버튼 실행</x:v>
      </x:c>
      <x:c r="L162" s="3" t="str">
        <x:v>내부 DB·보안 연동·준비 상태가 사용자 안내에 나오지 않는다. 다음 행동과 서비스 이용에 필요한 공개 범위는 사용자 언어로 표시한다. 고객이 입력한 원문은 기술 단어 포함만으로 임의 삭제하지 않는다.</x:v>
      </x:c>
      <x:c r="M162" s="3" t="str"/>
      <x:c r="N162" s="11" t="str"/>
      <x:c r="O162" s="11" t="str">
        <x:v>영문 리소스·언어 선택 미구현. EN 지원 빌드 필요.</x:v>
      </x:c>
      <x:c r="P162" s="11" t="str"/>
      <x:c r="Q162" s="12"/>
      <x:c r="R162" s="12"/>
      <x:c r="S162" s="11" t="str"/>
      <x:c r="T162" s="11" t="str"/>
      <x:c r="U162" s="11" t="str"/>
    </x:row>
    <x:row r="163" ht="97.5" customHeight="1">
      <x:c r="A163" s="3" t="str">
        <x:v>TXT-032</x:v>
      </x:c>
      <x:c r="B163" s="3" t="str">
        <x:v>P1</x:v>
      </x:c>
      <x:c r="C163" s="3" t="str">
        <x:v>문구</x:v>
      </x:c>
      <x:c r="D163" s="11" t="str">
        <x:v>미실행</x:v>
      </x:c>
      <x:c r="E163" s="11" t="str">
        <x:v>차단</x:v>
      </x:c>
      <x:c r="F163" s="3" t="str">
        <x:v>접근성</x:v>
      </x:c>
      <x:c r="G163" s="3" t="str">
        <x:v>아이콘 전용 행동의 읽어주는 이름</x:v>
      </x:c>
      <x:c r="H163" s="3" t="str">
        <x:v>KO·EN</x:v>
      </x:c>
      <x:c r="I163" s="3" t="str">
        <x:v>Android APK</x:v>
      </x:c>
      <x:c r="J163" s="3" t="str">
        <x:v>TalkBack과 고정 행동·설정·사진 버튼</x:v>
      </x:c>
      <x:c r="K163" s="3" t="str">
        <x:v>1. 화면 읽기로 아이콘 탐색
2. 이름으로 동작 예측
3. 버튼 실행</x:v>
      </x:c>
      <x:c r="L163" s="3" t="str">
        <x:v>촬영·앨범 선택·일정 추가·설정이 각각 정확히 읽힌다. icon name·영문 코드·빈 이름을 읽지 않는다. 장식 하루 이미지와 의미 있는 상태 안내를 구별한다.</x:v>
      </x:c>
      <x:c r="M163" s="3" t="str"/>
      <x:c r="N163" s="11" t="str"/>
      <x:c r="O163" s="11" t="str">
        <x:v>영문 리소스·언어 선택 미구현. EN 지원 빌드 필요.</x:v>
      </x:c>
      <x:c r="P163" s="11" t="str"/>
      <x:c r="Q163" s="12"/>
      <x:c r="R163" s="12"/>
      <x:c r="S163" s="11" t="str"/>
      <x:c r="T163" s="11" t="str"/>
      <x:c r="U163" s="11" t="str"/>
    </x:row>
    <x:row r="164" ht="97.5" customHeight="1">
      <x:c r="A164" s="3" t="str">
        <x:v>EN-027</x:v>
      </x:c>
      <x:c r="B164" s="3" t="str">
        <x:v>P1</x:v>
      </x:c>
      <x:c r="C164" s="3" t="str">
        <x:v>영문</x:v>
      </x:c>
      <x:c r="D164" s="11" t="str">
        <x:v>N/A</x:v>
      </x:c>
      <x:c r="E164" s="11" t="str">
        <x:v>차단</x:v>
      </x:c>
      <x:c r="F164" s="3" t="str">
        <x:v>이미지</x:v>
      </x:c>
      <x:c r="G164" s="3" t="str">
        <x:v>이미지 속 한국어와 영문 자산</x:v>
      </x:c>
      <x:c r="H164" s="3" t="str">
        <x:v>EN</x:v>
      </x:c>
      <x:c r="I164" s="3" t="str">
        <x:v>Android APK</x:v>
      </x:c>
      <x:c r="J164" s="3" t="str">
        <x:v>English 지원 빌드, 브랜드·하루·시작 이미지</x:v>
      </x:c>
      <x:c r="K164" s="3" t="str">
        <x:v>1. 영문 홈·로딩·오류 이미지 확인
2. bitmap 안 텍스트와 접근성 이름 검사</x:v>
      </x:c>
      <x:c r="L164" s="3" t="str">
        <x:v>이미지 안 한국어 설명이 남지 않는다. TripPrint·Haru 브랜드는 유지하며 서비스 안내는 번역 가능하다. 원문 영수증과 사용자 사진은 번역 대상에서 제외한다.</x:v>
      </x:c>
      <x:c r="M164" s="3" t="str"/>
      <x:c r="N164" s="11" t="str"/>
      <x:c r="O164" s="11" t="str">
        <x:v>영문 리소스·언어 선택 미구현. EN 지원 빌드 필요.</x:v>
      </x:c>
      <x:c r="P164" s="11" t="str"/>
      <x:c r="Q164" s="12"/>
      <x:c r="R164" s="12"/>
      <x:c r="S164" s="11" t="str"/>
      <x:c r="T164" s="11" t="str"/>
      <x:c r="U164" s="11" t="str"/>
    </x:row>
    <x:row r="165" ht="97.5" customHeight="1">
      <x:c r="A165" s="3" t="str">
        <x:v>EN-028</x:v>
      </x:c>
      <x:c r="B165" s="3" t="str">
        <x:v>P0</x:v>
      </x:c>
      <x:c r="C165" s="3" t="str">
        <x:v>영문</x:v>
      </x:c>
      <x:c r="D165" s="11" t="str">
        <x:v>N/A</x:v>
      </x:c>
      <x:c r="E165" s="11" t="str">
        <x:v>차단</x:v>
      </x:c>
      <x:c r="F165" s="3" t="str">
        <x:v>영수증 UX</x:v>
      </x:c>
      <x:c r="G165" s="3" t="str">
        <x:v>확인과 사진 선택 영어 일치</x:v>
      </x:c>
      <x:c r="H165" s="3" t="str">
        <x:v>EN</x:v>
      </x:c>
      <x:c r="I165" s="3" t="str">
        <x:v>Android APK</x:v>
      </x:c>
      <x:c r="J165" s="3" t="str">
        <x:v>English 지원 빌드, TD-02 자동 인식 후보</x:v>
      </x:c>
      <x:c r="K165" s="3" t="str">
        <x:v>1. 정보 확인·수정
2. 사진 보관 네/아니요 각각 실행
3. 최종 등록·재조회</x:v>
      </x:c>
      <x:c r="L165" s="3" t="str">
        <x:v>영문 질문·버튼·보관 안내가 한국어와 같은 실제 행동을 뜻한다. 일시·통화·원문 메뉴를 유지하며 사진 보관을 커뮤니티 공개로 번역하지 않는다.</x:v>
      </x:c>
      <x:c r="M165" s="3" t="str"/>
      <x:c r="N165" s="11" t="str"/>
      <x:c r="O165" s="11" t="str">
        <x:v>영문 리소스·언어 선택 미구현. EN 지원 빌드 필요.</x:v>
      </x:c>
      <x:c r="P165" s="11" t="str"/>
      <x:c r="Q165" s="12"/>
      <x:c r="R165" s="12"/>
      <x:c r="S165" s="11" t="str"/>
      <x:c r="T165" s="11" t="str"/>
      <x:c r="U165" s="11" t="str"/>
    </x:row>
    <x:row r="166" ht="97.5" customHeight="1">
      <x:c r="A166" s="3" t="str">
        <x:v>EN-029</x:v>
      </x:c>
      <x:c r="B166" s="3" t="str">
        <x:v>P0</x:v>
      </x:c>
      <x:c r="C166" s="3" t="str">
        <x:v>영문</x:v>
      </x:c>
      <x:c r="D166" s="11" t="str">
        <x:v>N/A</x:v>
      </x:c>
      <x:c r="E166" s="11" t="str">
        <x:v>차단</x:v>
      </x:c>
      <x:c r="F166" s="3" t="str">
        <x:v>보안 안내</x:v>
      </x:c>
      <x:c r="G166" s="3" t="str">
        <x:v>인증·멤버·공개 범위 영어</x:v>
      </x:c>
      <x:c r="H166" s="3" t="str">
        <x:v>EN</x:v>
      </x:c>
      <x:c r="I166" s="3" t="str">
        <x:v>Android APK</x:v>
      </x:c>
      <x:c r="J166" s="3" t="str">
        <x:v>English 지원 빌드, A/B/C 계정 및 공개 게시글</x:v>
      </x:c>
      <x:c r="K166" s="3" t="str">
        <x:v>1. 로그인 필요·읽기 전용·권한 거부
2. 사진 보관·공개 선택·철회
3. 관련 메시지 대조</x:v>
      </x:c>
      <x:c r="L166" s="3" t="str">
        <x:v>영문에서도 실제 권한과 비공개 범위가 동일하다. 숨겨진 한국어 오류나 내부 공급자 메시지가 나오지 않는다. 정보 공개 동의를 모호하게 번역하지 않는다.</x:v>
      </x:c>
      <x:c r="M166" s="3" t="str"/>
      <x:c r="N166" s="11" t="str"/>
      <x:c r="O166" s="11" t="str">
        <x:v>영문 리소스·언어 선택 미구현. EN 지원 빌드 필요.</x:v>
      </x:c>
      <x:c r="P166" s="11" t="str"/>
      <x:c r="Q166" s="12"/>
      <x:c r="R166" s="12"/>
      <x:c r="S166" s="11" t="str"/>
      <x:c r="T166" s="11" t="str"/>
      <x:c r="U166" s="11" t="str"/>
    </x:row>
    <x:row r="167" ht="97.5" customHeight="1">
      <x:c r="A167" s="3" t="str">
        <x:v>EN-030</x:v>
      </x:c>
      <x:c r="B167" s="3" t="str">
        <x:v>P1</x:v>
      </x:c>
      <x:c r="C167" s="3" t="str">
        <x:v>영문</x:v>
      </x:c>
      <x:c r="D167" s="11" t="str">
        <x:v>N/A</x:v>
      </x:c>
      <x:c r="E167" s="11" t="str">
        <x:v>차단</x:v>
      </x:c>
      <x:c r="F167" s="3" t="str">
        <x:v>지도</x:v>
      </x:c>
      <x:c r="G167" s="3" t="str">
        <x:v>영문 공유·복귀·Google 출처</x:v>
      </x:c>
      <x:c r="H167" s="3" t="str">
        <x:v>EN</x:v>
      </x:c>
      <x:c r="I167" s="3" t="str">
        <x:v>Android APK</x:v>
      </x:c>
      <x:c r="J167" s="3" t="str">
        <x:v>English 지원 빌드. 실제 단일 Maps 링크</x:v>
      </x:c>
      <x:c r="K167" s="3" t="str">
        <x:v>1. Android 공유 시트에서 앱으로 전달
2. 로그인 후 영문 후보 복귀
3. 장소 확인·등록·외부 지도 열기</x:v>
      </x:c>
      <x:c r="L167" s="3" t="str">
        <x:v>영문 동작과 선택 언어를 유지한다. 장소·Google Maps 이름·필요 출처 표시는 원문과 일치한다. 전체 즐겨찾기 동기화로 과장하지 않는다.</x:v>
      </x:c>
      <x:c r="M167" s="3" t="str"/>
      <x:c r="N167" s="11" t="str"/>
      <x:c r="O167" s="11" t="str">
        <x:v>영문 리소스·언어 선택 미구현. EN 지원 빌드 필요.</x:v>
      </x:c>
      <x:c r="P167" s="11" t="str"/>
      <x:c r="Q167" s="12"/>
      <x:c r="R167" s="12"/>
      <x:c r="S167" s="11" t="str"/>
      <x:c r="T167" s="11" t="str"/>
      <x:c r="U167" s="11" t="str"/>
    </x:row>
  </x:sheetData>
  <x:conditionalFormatting sqref="D6:D167">
    <x:cfRule type="containsText" dxfId="0" priority="1" operator="containsText" text="실패"/>
    <x:cfRule type="containsText" dxfId="1" priority="2" operator="containsText" text="차단"/>
  </x:conditionalFormatting>
  <x:conditionalFormatting sqref="E6:E167">
    <x:cfRule type="containsText" dxfId="2" priority="3" operator="containsText" text="실패"/>
    <x:cfRule type="containsText" dxfId="3" priority="4" operator="containsText" text="차단"/>
  </x:conditionalFormatting>
  <x:dataValidations count="2">
    <x:dataValidation type="list" sqref="D6:E167">
      <x:formula1>"미실행,통과,실패,차단,N/A"</x:formula1>
    </x:dataValidation>
    <x:dataValidation type="list" sqref="U6:U167">
      <x:formula1>"S0,S1,S2"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fb64cff21c749f9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2.5" hidden="0" customWidth="1"/>
    <x:col min="2" max="2" width="21.25" hidden="0" customWidth="1"/>
    <x:col min="3" max="3" width="53.75" hidden="0" customWidth="1"/>
    <x:col min="4" max="4" width="58.75" hidden="0" customWidth="1"/>
    <x:col min="5" max="5" width="33.130001068115234" hidden="0" customWidth="1"/>
    <x:col min="6" max="6" width="43.75" hidden="0" customWidth="1"/>
  </x:cols>
  <x:sheetData>
    <x:row r="1">
      <x:c r="A1" s="3"/>
      <x:c r="B1" s="3"/>
      <x:c r="C1" s="3"/>
      <x:c r="D1" s="3"/>
      <x:c r="E1" s="3"/>
      <x:c r="F1" s="3"/>
    </x:row>
    <x:row r="2" ht="27" customHeight="1">
      <x:c r="A2" s="5" t="str">
        <x:v>한국어·영문 문구 QA 기준</x:v>
      </x:c>
      <x:c r="B2" s="3"/>
      <x:c r="C2" s="3"/>
      <x:c r="D2" s="3"/>
      <x:c r="E2" s="3"/>
      <x:c r="F2" s="3"/>
    </x:row>
    <x:row r="3">
      <x:c r="A3" s="3"/>
      <x:c r="B3" s="3"/>
      <x:c r="C3" s="3"/>
      <x:c r="D3" s="3"/>
      <x:c r="E3" s="3"/>
      <x:c r="F3" s="3"/>
    </x:row>
    <x:row r="4">
      <x:c r="A4" s="6" t="str">
        <x:v>현재 KO와 영문 초안은 구분합니다. INFO_YES는 현재 실제 저장 버튼과 분리된 문구이므로 TXT-027·TC-080에서 재검토합니다.</x:v>
      </x:c>
      <x:c r="B4" s="3"/>
      <x:c r="C4" s="3"/>
      <x:c r="D4" s="3"/>
      <x:c r="E4" s="3"/>
      <x:c r="F4" s="3"/>
    </x:row>
    <x:row r="5" ht="34.5" customHeight="1">
      <x:c r="A5" s="10" t="str">
        <x:v>문구 ID</x:v>
      </x:c>
      <x:c r="B5" s="10" t="str">
        <x:v>화면·상황</x:v>
      </x:c>
      <x:c r="C5" s="10" t="str">
        <x:v>한국어 기준</x:v>
      </x:c>
      <x:c r="D5" s="10" t="str">
        <x:v>English draft</x:v>
      </x:c>
      <x:c r="E5" s="10" t="str">
        <x:v>문구 상태</x:v>
      </x:c>
      <x:c r="F5" s="10" t="str">
        <x:v>검사 기준</x:v>
      </x:c>
    </x:row>
    <x:row r="6" ht="63.75" customHeight="1">
      <x:c r="A6" s="3" t="str">
        <x:v>AUTH.CONTINUE</x:v>
      </x:c>
      <x:c r="B6" s="3" t="str">
        <x:v>로그인</x:v>
      </x:c>
      <x:c r="C6" s="3" t="str">
        <x:v>이메일로 계속하기</x:v>
      </x:c>
      <x:c r="D6" s="3" t="str">
        <x:v>Continue with email</x:v>
      </x:c>
      <x:c r="E6" s="3" t="str">
        <x:v>KO 현재 / EN 미반영 초안</x:v>
      </x:c>
      <x:c r="F6" s="3" t="str">
        <x:v>실제 행동·원본 보존·공개 범위·말투·오탈자·줄바꿈·접근성 이름 대조</x:v>
      </x:c>
    </x:row>
    <x:row r="7" ht="63.75" customHeight="1">
      <x:c r="A7" s="3" t="str">
        <x:v>AUTH.GUEST</x:v>
      </x:c>
      <x:c r="B7" s="3" t="str">
        <x:v>로그인</x:v>
      </x:c>
      <x:c r="C7" s="3" t="str">
        <x:v>로그인 없이 둘러보기</x:v>
      </x:c>
      <x:c r="D7" s="3" t="str">
        <x:v>Explore without signing in</x:v>
      </x:c>
      <x:c r="E7" s="3" t="str">
        <x:v>KO 현재 / EN 미반영 초안</x:v>
      </x:c>
      <x:c r="F7" s="3" t="str">
        <x:v>실제 행동·원본 보존·공개 범위·말투·오탈자·줄바꿈·접근성 이름 대조</x:v>
      </x:c>
    </x:row>
    <x:row r="8" ht="63.75" customHeight="1">
      <x:c r="A8" s="3" t="str">
        <x:v>AUTH.BENEFIT</x:v>
      </x:c>
      <x:c r="B8" s="3" t="str">
        <x:v>로그인</x:v>
      </x:c>
      <x:c r="C8" s="3" t="str">
        <x:v>로그인하면 여행을 저장하고 친구와 함께 계획할 수 있어요.</x:v>
      </x:c>
      <x:c r="D8" s="3" t="str">
        <x:v>Sign in to save your trips and plan with friends.</x:v>
      </x:c>
      <x:c r="E8" s="3" t="str">
        <x:v>KO 현재 / EN 미반영 초안</x:v>
      </x:c>
      <x:c r="F8" s="3" t="str">
        <x:v>실제 행동·원본 보존·공개 범위·말투·오탈자·줄바꿈·접근성 이름 대조</x:v>
      </x:c>
    </x:row>
    <x:row r="9" ht="63.75" customHeight="1">
      <x:c r="A9" s="3" t="str">
        <x:v>AUTH.LOGIN</x:v>
      </x:c>
      <x:c r="B9" s="3" t="str">
        <x:v>로그인</x:v>
      </x:c>
      <x:c r="C9" s="3" t="str">
        <x:v>이메일로 로그인</x:v>
      </x:c>
      <x:c r="D9" s="3" t="str">
        <x:v>Sign in with email</x:v>
      </x:c>
      <x:c r="E9" s="3" t="str">
        <x:v>KO 현재 / EN 미반영 초안</x:v>
      </x:c>
      <x:c r="F9" s="3" t="str">
        <x:v>실제 행동·원본 보존·공개 범위·말투·오탈자·줄바꿈·접근성 이름 대조</x:v>
      </x:c>
    </x:row>
    <x:row r="10" ht="63.75" customHeight="1">
      <x:c r="A10" s="3" t="str">
        <x:v>AUTH.SIGNUP</x:v>
      </x:c>
      <x:c r="B10" s="3" t="str">
        <x:v>회원가입</x:v>
      </x:c>
      <x:c r="C10" s="3" t="str">
        <x:v>여행자 회원가입</x:v>
      </x:c>
      <x:c r="D10" s="3" t="str">
        <x:v>Create your TripPrint account</x:v>
      </x:c>
      <x:c r="E10" s="3" t="str">
        <x:v>KO 현재 / EN 미반영 초안</x:v>
      </x:c>
      <x:c r="F10" s="3" t="str">
        <x:v>실제 행동·원본 보존·공개 범위·말투·오탈자·줄바꿈·접근성 이름 대조</x:v>
      </x:c>
    </x:row>
    <x:row r="11" ht="63.75" customHeight="1">
      <x:c r="A11" s="3" t="str">
        <x:v>AUTH.RECOVERY</x:v>
      </x:c>
      <x:c r="B11" s="3" t="str">
        <x:v>로그인 복귀</x:v>
      </x:c>
      <x:c r="C11" s="3" t="str">
        <x:v>다시 로그인해 주세요. 이메일로 여행을 이어갈 수 있어요.</x:v>
      </x:c>
      <x:c r="D11" s="3" t="str">
        <x:v>Sign in again with your email to continue your trip.</x:v>
      </x:c>
      <x:c r="E11" s="3" t="str">
        <x:v>KO 현재 / EN 미반영 초안</x:v>
      </x:c>
      <x:c r="F11" s="3" t="str">
        <x:v>실제 행동·원본 보존·공개 범위·말투·오탈자·줄바꿈·접근성 이름 대조</x:v>
      </x:c>
    </x:row>
    <x:row r="12" ht="63.75" customHeight="1">
      <x:c r="A12" s="3" t="str">
        <x:v>AUTH.RETURN</x:v>
      </x:c>
      <x:c r="B12" s="3" t="str">
        <x:v>로그인 복귀</x:v>
      </x:c>
      <x:c r="C12" s="3" t="str">
        <x:v>로그인으로 돌아가기</x:v>
      </x:c>
      <x:c r="D12" s="3" t="str">
        <x:v>Back to sign in</x:v>
      </x:c>
      <x:c r="E12" s="3" t="str">
        <x:v>KO 현재 / EN 미반영 초안</x:v>
      </x:c>
      <x:c r="F12" s="3" t="str">
        <x:v>실제 행동·원본 보존·공개 범위·말투·오탈자·줄바꿈·접근성 이름 대조</x:v>
      </x:c>
    </x:row>
    <x:row r="13" ht="63.75" customHeight="1">
      <x:c r="A13" s="3" t="str">
        <x:v>AUTH.LOADING</x:v>
      </x:c>
      <x:c r="B13" s="3" t="str">
        <x:v>로그인</x:v>
      </x:c>
      <x:c r="C13" s="3" t="str">
        <x:v>로그인하고 있어요…</x:v>
      </x:c>
      <x:c r="D13" s="3" t="str">
        <x:v>Signing you in…</x:v>
      </x:c>
      <x:c r="E13" s="3" t="str">
        <x:v>KO 현재 / EN 미반영 초안</x:v>
      </x:c>
      <x:c r="F13" s="3" t="str">
        <x:v>실제 행동·원본 보존·공개 범위·말투·오탈자·줄바꿈·접근성 이름 대조</x:v>
      </x:c>
    </x:row>
    <x:row r="14" ht="63.75" customHeight="1">
      <x:c r="A14" s="3" t="str">
        <x:v>AUTH.SIGNUP_LOADING</x:v>
      </x:c>
      <x:c r="B14" s="3" t="str">
        <x:v>회원가입</x:v>
      </x:c>
      <x:c r="C14" s="3" t="str">
        <x:v>가입하고 있어요…</x:v>
      </x:c>
      <x:c r="D14" s="3" t="str">
        <x:v>Creating your account…</x:v>
      </x:c>
      <x:c r="E14" s="3" t="str">
        <x:v>KO 현재 / EN 미반영 초안</x:v>
      </x:c>
      <x:c r="F14" s="3" t="str">
        <x:v>실제 행동·원본 보존·공개 범위·말투·오탈자·줄바꿈·접근성 이름 대조</x:v>
      </x:c>
    </x:row>
    <x:row r="15" ht="63.75" customHeight="1">
      <x:c r="A15" s="3" t="str">
        <x:v>FORM.EMAIL</x:v>
      </x:c>
      <x:c r="B15" s="3" t="str">
        <x:v>공통 입력</x:v>
      </x:c>
      <x:c r="C15" s="3" t="str">
        <x:v>이메일</x:v>
      </x:c>
      <x:c r="D15" s="3" t="str">
        <x:v>Email</x:v>
      </x:c>
      <x:c r="E15" s="3" t="str">
        <x:v>KO 현재 / EN 미반영 초안</x:v>
      </x:c>
      <x:c r="F15" s="3" t="str">
        <x:v>실제 행동·원본 보존·공개 범위·말투·오탈자·줄바꿈·접근성 이름 대조</x:v>
      </x:c>
    </x:row>
    <x:row r="16" ht="63.75" customHeight="1">
      <x:c r="A16" s="3" t="str">
        <x:v>FORM.PASSWORD</x:v>
      </x:c>
      <x:c r="B16" s="3" t="str">
        <x:v>공통 입력</x:v>
      </x:c>
      <x:c r="C16" s="3" t="str">
        <x:v>비밀번호</x:v>
      </x:c>
      <x:c r="D16" s="3" t="str">
        <x:v>Password</x:v>
      </x:c>
      <x:c r="E16" s="3" t="str">
        <x:v>KO 현재 / EN 미반영 초안</x:v>
      </x:c>
      <x:c r="F16" s="3" t="str">
        <x:v>실제 행동·원본 보존·공개 범위·말투·오탈자·줄바꿈·접근성 이름 대조</x:v>
      </x:c>
    </x:row>
    <x:row r="17" ht="63.75" customHeight="1">
      <x:c r="A17" s="3" t="str">
        <x:v>FORM.CONFIRM</x:v>
      </x:c>
      <x:c r="B17" s="3" t="str">
        <x:v>공통 입력</x:v>
      </x:c>
      <x:c r="C17" s="3" t="str">
        <x:v>비밀번호 확인</x:v>
      </x:c>
      <x:c r="D17" s="3" t="str">
        <x:v>Confirm password</x:v>
      </x:c>
      <x:c r="E17" s="3" t="str">
        <x:v>KO 현재 / EN 미반영 초안</x:v>
      </x:c>
      <x:c r="F17" s="3" t="str">
        <x:v>실제 행동·원본 보존·공개 범위·말투·오탈자·줄바꿈·접근성 이름 대조</x:v>
      </x:c>
    </x:row>
    <x:row r="18" ht="63.75" customHeight="1">
      <x:c r="A18" s="3" t="str">
        <x:v>FORM.AMOUNT</x:v>
      </x:c>
      <x:c r="B18" s="3" t="str">
        <x:v>비용 입력</x:v>
      </x:c>
      <x:c r="C18" s="3" t="str">
        <x:v>금액</x:v>
      </x:c>
      <x:c r="D18" s="3" t="str">
        <x:v>Amount</x:v>
      </x:c>
      <x:c r="E18" s="3" t="str">
        <x:v>KO 현재 / EN 미반영 초안</x:v>
      </x:c>
      <x:c r="F18" s="3" t="str">
        <x:v>실제 행동·원본 보존·공개 범위·말투·오탈자·줄바꿈·접근성 이름 대조</x:v>
      </x:c>
    </x:row>
    <x:row r="19" ht="63.75" customHeight="1">
      <x:c r="A19" s="3" t="str">
        <x:v>HOME.START</x:v>
      </x:c>
      <x:c r="B19" s="3" t="str">
        <x:v>홈</x:v>
      </x:c>
      <x:c r="C19" s="3" t="str">
        <x:v>새 여행 시작하기</x:v>
      </x:c>
      <x:c r="D19" s="3" t="str">
        <x:v>Start a new trip</x:v>
      </x:c>
      <x:c r="E19" s="3" t="str">
        <x:v>KO 현재 / EN 미반영 초안</x:v>
      </x:c>
      <x:c r="F19" s="3" t="str">
        <x:v>실제 행동·원본 보존·공개 범위·말투·오탈자·줄바꿈·접근성 이름 대조</x:v>
      </x:c>
    </x:row>
    <x:row r="20" ht="63.75" customHeight="1">
      <x:c r="A20" s="3" t="str">
        <x:v>TRIP.FLIGHT_OPTIONAL</x:v>
      </x:c>
      <x:c r="B20" s="3" t="str">
        <x:v>새 여행</x:v>
      </x:c>
      <x:c r="C20" s="3" t="str">
        <x:v>항공편 추가 (선택)</x:v>
      </x:c>
      <x:c r="D20" s="3" t="str">
        <x:v>Add a flight (optional)</x:v>
      </x:c>
      <x:c r="E20" s="3" t="str">
        <x:v>KO 현재 / EN 미반영 초안</x:v>
      </x:c>
      <x:c r="F20" s="3" t="str">
        <x:v>실제 행동·원본 보존·공개 범위·말투·오탈자·줄바꿈·접근성 이름 대조</x:v>
      </x:c>
    </x:row>
    <x:row r="21" ht="63.75" customHeight="1">
      <x:c r="A21" s="3" t="str">
        <x:v>COMMON.SAVE</x:v>
      </x:c>
      <x:c r="B21" s="3" t="str">
        <x:v>공통 저장</x:v>
      </x:c>
      <x:c r="C21" s="3" t="str">
        <x:v>확인하고 저장</x:v>
      </x:c>
      <x:c r="D21" s="3" t="str">
        <x:v>Review and save</x:v>
      </x:c>
      <x:c r="E21" s="3" t="str">
        <x:v>KO 현재 / EN 미반영 초안</x:v>
      </x:c>
      <x:c r="F21" s="3" t="str">
        <x:v>실제 행동·원본 보존·공개 범위·말투·오탈자·줄바꿈·접근성 이름 대조</x:v>
      </x:c>
    </x:row>
    <x:row r="22" ht="63.75" customHeight="1">
      <x:c r="A22" s="3" t="str">
        <x:v>COMMON.CANCEL</x:v>
      </x:c>
      <x:c r="B22" s="3" t="str">
        <x:v>공통 취소</x:v>
      </x:c>
      <x:c r="C22" s="3" t="str">
        <x:v>취소</x:v>
      </x:c>
      <x:c r="D22" s="3" t="str">
        <x:v>Cancel</x:v>
      </x:c>
      <x:c r="E22" s="3" t="str">
        <x:v>KO 현재 / EN 미반영 초안</x:v>
      </x:c>
      <x:c r="F22" s="3" t="str">
        <x:v>실제 행동·원본 보존·공개 범위·말투·오탈자·줄바꿈·접근성 이름 대조</x:v>
      </x:c>
    </x:row>
    <x:row r="23" ht="63.75" customHeight="1">
      <x:c r="A23" s="3" t="str">
        <x:v>COMMON.CLOSE</x:v>
      </x:c>
      <x:c r="B23" s="3" t="str">
        <x:v>공통 닫기</x:v>
      </x:c>
      <x:c r="C23" s="3" t="str">
        <x:v>닫기</x:v>
      </x:c>
      <x:c r="D23" s="3" t="str">
        <x:v>Close</x:v>
      </x:c>
      <x:c r="E23" s="3" t="str">
        <x:v>KO 현재 / EN 미반영 초안</x:v>
      </x:c>
      <x:c r="F23" s="3" t="str">
        <x:v>실제 행동·원본 보존·공개 범위·말투·오탈자·줄바꿈·접근성 이름 대조</x:v>
      </x:c>
    </x:row>
    <x:row r="24" ht="63.75" customHeight="1">
      <x:c r="A24" s="3" t="str">
        <x:v>COMMON.RETRY_SAVE</x:v>
      </x:c>
      <x:c r="B24" s="3" t="str">
        <x:v>저장 재시도</x:v>
      </x:c>
      <x:c r="C24" s="3" t="str">
        <x:v>다시 저장하기</x:v>
      </x:c>
      <x:c r="D24" s="3" t="str">
        <x:v>Try saving again</x:v>
      </x:c>
      <x:c r="E24" s="3" t="str">
        <x:v>KO 현재 / EN 미반영 초안</x:v>
      </x:c>
      <x:c r="F24" s="3" t="str">
        <x:v>실제 행동·원본 보존·공개 범위·말투·오탈자·줄바꿈·접근성 이름 대조</x:v>
      </x:c>
    </x:row>
    <x:row r="25" ht="63.75" customHeight="1">
      <x:c r="A25" s="3" t="str">
        <x:v>ERROR.SAVE</x:v>
      </x:c>
      <x:c r="B25" s="3" t="str">
        <x:v>저장 오류</x:v>
      </x:c>
      <x:c r="C25" s="3" t="str">
        <x:v>저장하지 못했어요. 입력한 내용은 그대로 있으니 다시 저장해 주세요.</x:v>
      </x:c>
      <x:c r="D25" s="3" t="str">
        <x:v>We couldn’t save this. Your changes are still here. Try saving again.</x:v>
      </x:c>
      <x:c r="E25" s="3" t="str">
        <x:v>KO 현재 / EN 미반영 초안</x:v>
      </x:c>
      <x:c r="F25" s="3" t="str">
        <x:v>실제 행동·원본 보존·공개 범위·말투·오탈자·줄바꿈·접근성 이름 대조</x:v>
      </x:c>
    </x:row>
    <x:row r="26" ht="63.75" customHeight="1">
      <x:c r="A26" s="3" t="str">
        <x:v>ERROR.CONNECTION</x:v>
      </x:c>
      <x:c r="B26" s="3" t="str">
        <x:v>연결 오류</x:v>
      </x:c>
      <x:c r="C26" s="3" t="str">
        <x:v>연결이 끊겼어요. 입력한 내용은 그대로 있으니 다시 시도해 주세요.</x:v>
      </x:c>
      <x:c r="D26" s="3" t="str">
        <x:v>The connection was lost. Your changes are still here. Please try again.</x:v>
      </x:c>
      <x:c r="E26" s="3" t="str">
        <x:v>KO 현재 / EN 미반영 초안</x:v>
      </x:c>
      <x:c r="F26" s="3" t="str">
        <x:v>실제 행동·원본 보존·공개 범위·말투·오탈자·줄바꿈·접근성 이름 대조</x:v>
      </x:c>
    </x:row>
    <x:row r="27" ht="63.75" customHeight="1">
      <x:c r="A27" s="3" t="str">
        <x:v>RECEIPT.LOADING</x:v>
      </x:c>
      <x:c r="B27" s="3" t="str">
        <x:v>영수증 대기</x:v>
      </x:c>
      <x:c r="C27" s="3" t="str">
        <x:v>영수증을 읽고 있어요</x:v>
      </x:c>
      <x:c r="D27" s="3" t="str">
        <x:v>Reading your receipt</x:v>
      </x:c>
      <x:c r="E27" s="3" t="str">
        <x:v>KO 현재 / EN 미반영 초안</x:v>
      </x:c>
      <x:c r="F27" s="3" t="str">
        <x:v>실제 행동·원본 보존·공개 범위·말투·오탈자·줄바꿈·접근성 이름 대조</x:v>
      </x:c>
    </x:row>
    <x:row r="28" ht="63.75" customHeight="1">
      <x:c r="A28" s="3" t="str">
        <x:v>RECEIPT.LOADING_BODY</x:v>
      </x:c>
      <x:c r="B28" s="3" t="str">
        <x:v>영수증 대기</x:v>
      </x:c>
      <x:c r="C28" s="3" t="str">
        <x:v>장소, 결제 일시, 메뉴와 합계를 찾고 있어요.</x:v>
      </x:c>
      <x:c r="D28" s="3" t="str">
        <x:v>Finding the place, payment date and time, items, and total.</x:v>
      </x:c>
      <x:c r="E28" s="3" t="str">
        <x:v>KO 현재 / EN 미반영 초안</x:v>
      </x:c>
      <x:c r="F28" s="3" t="str">
        <x:v>실제 행동·원본 보존·공개 범위·말투·오탈자·줄바꿈·접근성 이름 대조</x:v>
      </x:c>
    </x:row>
    <x:row r="29" ht="63.75" customHeight="1">
      <x:c r="A29" s="3" t="str">
        <x:v>RECEIPT.REVIEW</x:v>
      </x:c>
      <x:c r="B29" s="3" t="str">
        <x:v>영수증 확인</x:v>
      </x:c>
      <x:c r="C29" s="3" t="str">
        <x:v>사진에서 읽은 내용이에요</x:v>
      </x:c>
      <x:c r="D29" s="3" t="str">
        <x:v>Here’s what we found in your photo</x:v>
      </x:c>
      <x:c r="E29" s="3" t="str">
        <x:v>KO 현재 / EN 미반영 초안</x:v>
      </x:c>
      <x:c r="F29" s="3" t="str">
        <x:v>실제 행동·원본 보존·공개 범위·말투·오탈자·줄바꿈·접근성 이름 대조</x:v>
      </x:c>
    </x:row>
    <x:row r="30" ht="63.75" customHeight="1">
      <x:c r="A30" s="3" t="str">
        <x:v>RECEIPT.REGISTER</x:v>
      </x:c>
      <x:c r="B30" s="3" t="str">
        <x:v>영수증 등록</x:v>
      </x:c>
      <x:c r="C30" s="3" t="str">
        <x:v>일정에 추가하기</x:v>
      </x:c>
      <x:c r="D30" s="3" t="str">
        <x:v>Add to itinerary</x:v>
      </x:c>
      <x:c r="E30" s="3" t="str">
        <x:v>KO 현재 / EN 미반영 초안</x:v>
      </x:c>
      <x:c r="F30" s="3" t="str">
        <x:v>실제 행동·원본 보존·공개 범위·말투·오탈자·줄바꿈·접근성 이름 대조</x:v>
      </x:c>
    </x:row>
    <x:row r="31" ht="63.75" customHeight="1">
      <x:c r="A31" s="3" t="str">
        <x:v>RECEIPT.EDIT</x:v>
      </x:c>
      <x:c r="B31" s="3" t="str">
        <x:v>영수증 수정</x:v>
      </x:c>
      <x:c r="C31" s="3" t="str">
        <x:v>인식 내용 수정</x:v>
      </x:c>
      <x:c r="D31" s="3" t="str">
        <x:v>Edit receipt details</x:v>
      </x:c>
      <x:c r="E31" s="3" t="str">
        <x:v>KO 현재 / EN 미반영 초안</x:v>
      </x:c>
      <x:c r="F31" s="3" t="str">
        <x:v>실제 행동·원본 보존·공개 범위·말투·오탈자·줄바꿈·접근성 이름 대조</x:v>
      </x:c>
    </x:row>
    <x:row r="32" ht="63.75" customHeight="1">
      <x:c r="A32" s="3" t="str">
        <x:v>RECEIPT.ERROR</x:v>
      </x:c>
      <x:c r="B32" s="3" t="str">
        <x:v>영수증 실패</x:v>
      </x:c>
      <x:c r="C32" s="3" t="str">
        <x:v>영수증을 읽지 못했어요</x:v>
      </x:c>
      <x:c r="D32" s="3" t="str">
        <x:v>We couldn’t read this receipt</x:v>
      </x:c>
      <x:c r="E32" s="3" t="str">
        <x:v>KO 현재 / EN 미반영 초안</x:v>
      </x:c>
      <x:c r="F32" s="3" t="str">
        <x:v>실제 행동·원본 보존·공개 범위·말투·오탈자·줄바꿈·접근성 이름 대조</x:v>
      </x:c>
    </x:row>
    <x:row r="33" ht="63.75" customHeight="1">
      <x:c r="A33" s="3" t="str">
        <x:v>RECEIPT.RETRY</x:v>
      </x:c>
      <x:c r="B33" s="3" t="str">
        <x:v>영수증 실패</x:v>
      </x:c>
      <x:c r="C33" s="3" t="str">
        <x:v>다시 스캔하기</x:v>
      </x:c>
      <x:c r="D33" s="3" t="str">
        <x:v>Scan again</x:v>
      </x:c>
      <x:c r="E33" s="3" t="str">
        <x:v>KO 현재 / EN 미반영 초안</x:v>
      </x:c>
      <x:c r="F33" s="3" t="str">
        <x:v>실제 행동·원본 보존·공개 범위·말투·오탈자·줄바꿈·접근성 이름 대조</x:v>
      </x:c>
    </x:row>
    <x:row r="34" ht="63.75" customHeight="1">
      <x:c r="A34" s="3" t="str">
        <x:v>RECEIPT.OTHER</x:v>
      </x:c>
      <x:c r="B34" s="3" t="str">
        <x:v>영수증 실패</x:v>
      </x:c>
      <x:c r="C34" s="3" t="str">
        <x:v>다른 영수증 사진 선택</x:v>
      </x:c>
      <x:c r="D34" s="3" t="str">
        <x:v>Choose another receipt photo</x:v>
      </x:c>
      <x:c r="E34" s="3" t="str">
        <x:v>KO 현재 / EN 미반영 초안</x:v>
      </x:c>
      <x:c r="F34" s="3" t="str">
        <x:v>실제 행동·원본 보존·공개 범위·말투·오탈자·줄바꿈·접근성 이름 대조</x:v>
      </x:c>
    </x:row>
    <x:row r="35" ht="63.75" customHeight="1">
      <x:c r="A35" s="3" t="str">
        <x:v>RECEIPT.MANUAL</x:v>
      </x:c>
      <x:c r="B35" s="3" t="str">
        <x:v>영수증 실패 대안</x:v>
      </x:c>
      <x:c r="C35" s="3" t="str">
        <x:v>직접 입력으로 계속</x:v>
      </x:c>
      <x:c r="D35" s="3" t="str">
        <x:v>Enter details manually</x:v>
      </x:c>
      <x:c r="E35" s="3" t="str">
        <x:v>KO 현재 / EN 미반영 초안</x:v>
      </x:c>
      <x:c r="F35" s="3" t="str">
        <x:v>실제 행동·원본 보존·공개 범위·말투·오탈자·줄바꿈·접근성 이름 대조</x:v>
      </x:c>
    </x:row>
    <x:row r="36" ht="63.75" customHeight="1">
      <x:c r="A36" s="3" t="str">
        <x:v>RECEIPT.MERCHANT</x:v>
      </x:c>
      <x:c r="B36" s="3" t="str">
        <x:v>영수증 수정</x:v>
      </x:c>
      <x:c r="C36" s="3" t="str">
        <x:v>영수증 상호</x:v>
      </x:c>
      <x:c r="D36" s="3" t="str">
        <x:v>Business name</x:v>
      </x:c>
      <x:c r="E36" s="3" t="str">
        <x:v>KO 현재 / EN 미반영 초안</x:v>
      </x:c>
      <x:c r="F36" s="3" t="str">
        <x:v>실제 행동·원본 보존·공개 범위·말투·오탈자·줄바꿈·접근성 이름 대조</x:v>
      </x:c>
    </x:row>
    <x:row r="37" ht="63.75" customHeight="1">
      <x:c r="A37" s="3" t="str">
        <x:v>RECEIPT.ADDRESS</x:v>
      </x:c>
      <x:c r="B37" s="3" t="str">
        <x:v>영수증 수정</x:v>
      </x:c>
      <x:c r="C37" s="3" t="str">
        <x:v>지역명·주소</x:v>
      </x:c>
      <x:c r="D37" s="3" t="str">
        <x:v>Area or address</x:v>
      </x:c>
      <x:c r="E37" s="3" t="str">
        <x:v>KO 현재 / EN 미반영 초안</x:v>
      </x:c>
      <x:c r="F37" s="3" t="str">
        <x:v>실제 행동·원본 보존·공개 범위·말투·오탈자·줄바꿈·접근성 이름 대조</x:v>
      </x:c>
    </x:row>
    <x:row r="38" ht="63.75" customHeight="1">
      <x:c r="A38" s="3" t="str">
        <x:v>RECEIPT.PAID_DATE</x:v>
      </x:c>
      <x:c r="B38" s="3" t="str">
        <x:v>영수증 수정</x:v>
      </x:c>
      <x:c r="C38" s="3" t="str">
        <x:v>실제 결제 날짜</x:v>
      </x:c>
      <x:c r="D38" s="3" t="str">
        <x:v>Payment date</x:v>
      </x:c>
      <x:c r="E38" s="3" t="str">
        <x:v>KO 현재 / EN 미반영 초안</x:v>
      </x:c>
      <x:c r="F38" s="3" t="str">
        <x:v>실제 행동·원본 보존·공개 범위·말투·오탈자·줄바꿈·접근성 이름 대조</x:v>
      </x:c>
    </x:row>
    <x:row r="39" ht="63.75" customHeight="1">
      <x:c r="A39" s="3" t="str">
        <x:v>RECEIPT.PAID_TIME</x:v>
      </x:c>
      <x:c r="B39" s="3" t="str">
        <x:v>영수증 수정</x:v>
      </x:c>
      <x:c r="C39" s="3" t="str">
        <x:v>실제 결제 시간</x:v>
      </x:c>
      <x:c r="D39" s="3" t="str">
        <x:v>Payment time</x:v>
      </x:c>
      <x:c r="E39" s="3" t="str">
        <x:v>KO 현재 / EN 미반영 초안</x:v>
      </x:c>
      <x:c r="F39" s="3" t="str">
        <x:v>실제 행동·원본 보존·공개 범위·말투·오탈자·줄바꿈·접근성 이름 대조</x:v>
      </x:c>
    </x:row>
    <x:row r="40" ht="63.75" customHeight="1">
      <x:c r="A40" s="3" t="str">
        <x:v>RECEIPT.ITEMS</x:v>
      </x:c>
      <x:c r="B40" s="3" t="str">
        <x:v>영수증 메뉴</x:v>
      </x:c>
      <x:c r="C40" s="3" t="str">
        <x:v>메뉴·구매 내역</x:v>
      </x:c>
      <x:c r="D40" s="3" t="str">
        <x:v>Items purchased</x:v>
      </x:c>
      <x:c r="E40" s="3" t="str">
        <x:v>KO 현재 / EN 미반영 초안</x:v>
      </x:c>
      <x:c r="F40" s="3" t="str">
        <x:v>실제 행동·원본 보존·공개 범위·말투·오탈자·줄바꿈·접근성 이름 대조</x:v>
      </x:c>
    </x:row>
    <x:row r="41" ht="63.75" customHeight="1">
      <x:c r="A41" s="3" t="str">
        <x:v>RECEIPT.MERCHANT_MISSING</x:v>
      </x:c>
      <x:c r="B41" s="3" t="str">
        <x:v>영수증 확인</x:v>
      </x:c>
      <x:c r="C41" s="3" t="str">
        <x:v>상호 확인 필요</x:v>
      </x:c>
      <x:c r="D41" s="3" t="str">
        <x:v>Check the business name</x:v>
      </x:c>
      <x:c r="E41" s="3" t="str">
        <x:v>KO 현재 / EN 미반영 초안</x:v>
      </x:c>
      <x:c r="F41" s="3" t="str">
        <x:v>실제 행동·원본 보존·공개 범위·말투·오탈자·줄바꿈·접근성 이름 대조</x:v>
      </x:c>
    </x:row>
    <x:row r="42" ht="63.75" customHeight="1">
      <x:c r="A42" s="3" t="str">
        <x:v>RECEIPT.AMOUNT_MISSING</x:v>
      </x:c>
      <x:c r="B42" s="3" t="str">
        <x:v>영수증 확인</x:v>
      </x:c>
      <x:c r="C42" s="3" t="str">
        <x:v>금액 확인 필요</x:v>
      </x:c>
      <x:c r="D42" s="3" t="str">
        <x:v>Check the total</x:v>
      </x:c>
      <x:c r="E42" s="3" t="str">
        <x:v>KO 현재 / EN 미반영 초안</x:v>
      </x:c>
      <x:c r="F42" s="3" t="str">
        <x:v>실제 행동·원본 보존·공개 범위·말투·오탈자·줄바꿈·접근성 이름 대조</x:v>
      </x:c>
    </x:row>
    <x:row r="43" ht="63.75" customHeight="1">
      <x:c r="A43" s="3" t="str">
        <x:v>RECEIPT.DAY_MISMATCH</x:v>
      </x:c>
      <x:c r="B43" s="3" t="str">
        <x:v>영수증 확인</x:v>
      </x:c>
      <x:c r="C43" s="3" t="str">
        <x:v>결제 날짜가 여행 기간과 맞는지 확인해 주세요.</x:v>
      </x:c>
      <x:c r="D43" s="3" t="str">
        <x:v>Check that the payment date is within your trip dates.</x:v>
      </x:c>
      <x:c r="E43" s="3" t="str">
        <x:v>KO 현재 / EN 미반영 초안</x:v>
      </x:c>
      <x:c r="F43" s="3" t="str">
        <x:v>실제 행동·원본 보존·공개 범위·말투·오탈자·줄바꿈·접근성 이름 대조</x:v>
      </x:c>
    </x:row>
    <x:row r="44" ht="63.75" customHeight="1">
      <x:c r="A44" s="3" t="str">
        <x:v>MAP.OPEN</x:v>
      </x:c>
      <x:c r="B44" s="3" t="str">
        <x:v>지도</x:v>
      </x:c>
      <x:c r="C44" s="3" t="str">
        <x:v>Google Maps 열기</x:v>
      </x:c>
      <x:c r="D44" s="3" t="str">
        <x:v>Open Google Maps</x:v>
      </x:c>
      <x:c r="E44" s="3" t="str">
        <x:v>KO 현재 / EN 미반영 초안</x:v>
      </x:c>
      <x:c r="F44" s="3" t="str">
        <x:v>실제 행동·원본 보존·공개 범위·말투·오탈자·줄바꿈·접근성 이름 대조</x:v>
      </x:c>
    </x:row>
    <x:row r="45" ht="63.75" customHeight="1">
      <x:c r="A45" s="3" t="str">
        <x:v>MAP.FOUND</x:v>
      </x:c>
      <x:c r="B45" s="3" t="str">
        <x:v>지도 공유</x:v>
      </x:c>
      <x:c r="C45" s="3" t="str">
        <x:v>공유한 장소를 찾았어요.</x:v>
      </x:c>
      <x:c r="D45" s="3" t="str">
        <x:v>We found the place you shared.</x:v>
      </x:c>
      <x:c r="E45" s="3" t="str">
        <x:v>KO 현재 / EN 미반영 초안</x:v>
      </x:c>
      <x:c r="F45" s="3" t="str">
        <x:v>실제 행동·원본 보존·공개 범위·말투·오탈자·줄바꿈·접근성 이름 대조</x:v>
      </x:c>
    </x:row>
    <x:row r="46" ht="63.75" customHeight="1">
      <x:c r="A46" s="3" t="str">
        <x:v>MAP.IMPORT</x:v>
      </x:c>
      <x:c r="B46" s="3" t="str">
        <x:v>장소 가져오기</x:v>
      </x:c>
      <x:c r="C46" s="3" t="str">
        <x:v>저장한 장소를 여행으로</x:v>
      </x:c>
      <x:c r="D46" s="3" t="str">
        <x:v>Add saved places to your trip</x:v>
      </x:c>
      <x:c r="E46" s="3" t="str">
        <x:v>KO 현재 / EN 미반영 초안</x:v>
      </x:c>
      <x:c r="F46" s="3" t="str">
        <x:v>실제 행동·원본 보존·공개 범위·말투·오탈자·줄바꿈·접근성 이름 대조</x:v>
      </x:c>
    </x:row>
    <x:row r="47" ht="63.75" customHeight="1">
      <x:c r="A47" s="3" t="str">
        <x:v>MAP.ERROR</x:v>
      </x:c>
      <x:c r="B47" s="3" t="str">
        <x:v>지도 실패</x:v>
      </x:c>
      <x:c r="C47" s="3" t="str">
        <x:v>장소 검색을 완료하지 못했어요. 다시 검색하거나 Google Maps에서 확인해 주세요.</x:v>
      </x:c>
      <x:c r="D47" s="3" t="str">
        <x:v>We couldn’t complete the search. Try again or check Google Maps.</x:v>
      </x:c>
      <x:c r="E47" s="3" t="str">
        <x:v>KO 현재 / EN 미반영 초안</x:v>
      </x:c>
      <x:c r="F47" s="3" t="str">
        <x:v>실제 행동·원본 보존·공개 범위·말투·오탈자·줄바꿈·접근성 이름 대조</x:v>
      </x:c>
    </x:row>
    <x:row r="48" ht="63.75" customHeight="1">
      <x:c r="A48" s="3" t="str">
        <x:v>INVITE.JOIN</x:v>
      </x:c>
      <x:c r="B48" s="3" t="str">
        <x:v>초대</x:v>
      </x:c>
      <x:c r="C48" s="3" t="str">
        <x:v>초대 확인하고 참여</x:v>
      </x:c>
      <x:c r="D48" s="3" t="str">
        <x:v>Review invitation and join</x:v>
      </x:c>
      <x:c r="E48" s="3" t="str">
        <x:v>KO 현재 / EN 미반영 초안</x:v>
      </x:c>
      <x:c r="F48" s="3" t="str">
        <x:v>실제 행동·원본 보존·공개 범위·말투·오탈자·줄바꿈·접근성 이름 대조</x:v>
      </x:c>
    </x:row>
    <x:row r="49" ht="63.75" customHeight="1">
      <x:c r="A49" s="3" t="str">
        <x:v>HARU.RELOAD</x:v>
      </x:c>
      <x:c r="B49" s="3" t="str">
        <x:v>조회 오류</x:v>
      </x:c>
      <x:c r="C49" s="3" t="str">
        <x:v>다시 불러오기</x:v>
      </x:c>
      <x:c r="D49" s="3" t="str">
        <x:v>Try again</x:v>
      </x:c>
      <x:c r="E49" s="3" t="str">
        <x:v>KO 현재 / EN 미반영 초안</x:v>
      </x:c>
      <x:c r="F49" s="3" t="str">
        <x:v>실제 행동·원본 보존·공개 범위·말투·오탈자·줄바꿈·접근성 이름 대조</x:v>
      </x:c>
    </x:row>
    <x:row r="50" ht="63.75" customHeight="1">
      <x:c r="A50" s="3" t="str">
        <x:v>HARU.HOME</x:v>
      </x:c>
      <x:c r="B50" s="3" t="str">
        <x:v>길 찾기</x:v>
      </x:c>
      <x:c r="C50" s="3" t="str">
        <x:v>홈으로 돌아가기</x:v>
      </x:c>
      <x:c r="D50" s="3" t="str">
        <x:v>Back to home</x:v>
      </x:c>
      <x:c r="E50" s="3" t="str">
        <x:v>KO 현재 / EN 미반영 초안</x:v>
      </x:c>
      <x:c r="F50" s="3" t="str">
        <x:v>실제 행동·원본 보존·공개 범위·말투·오탈자·줄바꿈·접근성 이름 대조</x:v>
      </x:c>
    </x:row>
    <x:row r="51" ht="63.75" customHeight="1">
      <x:c r="A51" s="3" t="str">
        <x:v>PRIVACY.DEFAULT</x:v>
      </x:c>
      <x:c r="B51" s="3" t="str">
        <x:v>로그인</x:v>
      </x:c>
      <x:c r="C51" s="3" t="str">
        <x:v>여행 기록은 기본적으로 비공개입니다. 커뮤니티에 공개할 내용은 직접 선택할 수 있어요.</x:v>
      </x:c>
      <x:c r="D51" s="3" t="str">
        <x:v>Your trips are private by default. You choose what to share with the community.</x:v>
      </x:c>
      <x:c r="E51" s="3" t="str">
        <x:v>KO 현재 / EN 미반영 초안</x:v>
      </x:c>
      <x:c r="F51" s="3" t="str">
        <x:v>실제 행동·원본 보존·공개 범위·말투·오탈자·줄바꿈·접근성 이름 대조</x:v>
      </x:c>
    </x:row>
    <x:row r="52" ht="63.75" customHeight="1">
      <x:c r="A52" s="3" t="str">
        <x:v>PRIVACY.LOCAL</x:v>
      </x:c>
      <x:c r="B52" s="3" t="str">
        <x:v>이전 기록</x:v>
      </x:c>
      <x:c r="C52" s="3" t="str">
        <x:v>여기에 남긴 기록은 이 기기에서만 볼 수 있어요.</x:v>
      </x:c>
      <x:c r="D52" s="3" t="str">
        <x:v>These records are only available on this device.</x:v>
      </x:c>
      <x:c r="E52" s="3" t="str">
        <x:v>KO 현재 / EN 미반영 초안</x:v>
      </x:c>
      <x:c r="F52" s="3" t="str">
        <x:v>실제 행동·원본 보존·공개 범위·말투·오탈자·줄바꿈·접근성 이름 대조</x:v>
      </x:c>
    </x:row>
    <x:row r="53" ht="63.75" customHeight="1">
      <x:c r="A53" s="3" t="str">
        <x:v>COMMUNITY.PUBLISH</x:v>
      </x:c>
      <x:c r="B53" s="3" t="str">
        <x:v>게시</x:v>
      </x:c>
      <x:c r="C53" s="3" t="str">
        <x:v>확인하고 게시</x:v>
      </x:c>
      <x:c r="D53" s="3" t="str">
        <x:v>Review and publish</x:v>
      </x:c>
      <x:c r="E53" s="3" t="str">
        <x:v>KO 현재 / EN 미반영 초안</x:v>
      </x:c>
      <x:c r="F53" s="3" t="str">
        <x:v>실제 행동·원본 보존·공개 범위·말투·오탈자·줄바꿈·접근성 이름 대조</x:v>
      </x:c>
    </x:row>
    <x:row r="54" ht="63.75" customHeight="1">
      <x:c r="A54" s="3" t="str">
        <x:v>TERM.TRIP</x:v>
      </x:c>
      <x:c r="B54" s="3" t="str">
        <x:v>용어</x:v>
      </x:c>
      <x:c r="C54" s="3" t="str">
        <x:v>여행</x:v>
      </x:c>
      <x:c r="D54" s="3" t="str">
        <x:v>Trip</x:v>
      </x:c>
      <x:c r="E54" s="3" t="str">
        <x:v>KO 현재 / EN 미반영 초안</x:v>
      </x:c>
      <x:c r="F54" s="3" t="str">
        <x:v>실제 행동·원본 보존·공개 범위·말투·오탈자·줄바꿈·접근성 이름 대조</x:v>
      </x:c>
    </x:row>
    <x:row r="55" ht="63.75" customHeight="1">
      <x:c r="A55" s="3" t="str">
        <x:v>TERM.ITINERARY</x:v>
      </x:c>
      <x:c r="B55" s="3" t="str">
        <x:v>용어</x:v>
      </x:c>
      <x:c r="C55" s="3" t="str">
        <x:v>일정</x:v>
      </x:c>
      <x:c r="D55" s="3" t="str">
        <x:v>Itinerary</x:v>
      </x:c>
      <x:c r="E55" s="3" t="str">
        <x:v>KO 현재 / EN 미반영 초안</x:v>
      </x:c>
      <x:c r="F55" s="3" t="str">
        <x:v>실제 행동·원본 보존·공개 범위·말투·오탈자·줄바꿈·접근성 이름 대조</x:v>
      </x:c>
    </x:row>
    <x:row r="56" ht="63.75" customHeight="1">
      <x:c r="A56" s="3" t="str">
        <x:v>TERM.FOOTPRINTS</x:v>
      </x:c>
      <x:c r="B56" s="3" t="str">
        <x:v>용어</x:v>
      </x:c>
      <x:c r="C56" s="3" t="str">
        <x:v>발자국</x:v>
      </x:c>
      <x:c r="D56" s="3" t="str">
        <x:v>Footprints</x:v>
      </x:c>
      <x:c r="E56" s="3" t="str">
        <x:v>KO 현재 / EN 미반영 초안</x:v>
      </x:c>
      <x:c r="F56" s="3" t="str">
        <x:v>실제 행동·원본 보존·공개 범위·말투·오탈자·줄바꿈·접근성 이름 대조</x:v>
      </x:c>
    </x:row>
    <x:row r="57" ht="63.75" customHeight="1">
      <x:c r="A57" s="3" t="str">
        <x:v>TERM.HARU</x:v>
      </x:c>
      <x:c r="B57" s="3" t="str">
        <x:v>브랜드</x:v>
      </x:c>
      <x:c r="C57" s="3" t="str">
        <x:v>하루</x:v>
      </x:c>
      <x:c r="D57" s="3" t="str">
        <x:v>Haru</x:v>
      </x:c>
      <x:c r="E57" s="3" t="str">
        <x:v>KO 현재 / EN 미반영 초안</x:v>
      </x:c>
      <x:c r="F57" s="3" t="str">
        <x:v>실제 행동·원본 보존·공개 범위·말투·오탈자·줄바꿈·접근성 이름 대조</x:v>
      </x:c>
    </x:row>
    <x:row r="58" ht="63.75" customHeight="1">
      <x:c r="A58" s="3" t="str">
        <x:v>NATIVE.CAMERA</x:v>
      </x:c>
      <x:c r="B58" s="3" t="str">
        <x:v>카메라 권한</x:v>
      </x:c>
      <x:c r="C58" s="3" t="str">
        <x:v>여행 사진과 영수증을 촬영하기 위해 카메라 접근이 필요합니다.</x:v>
      </x:c>
      <x:c r="D58" s="3" t="str">
        <x:v>Allow camera access to take travel photos and scan receipts.</x:v>
      </x:c>
      <x:c r="E58" s="3" t="str">
        <x:v>KO 현재 / EN 미반영 초안</x:v>
      </x:c>
      <x:c r="F58" s="3" t="str">
        <x:v>실제 행동·원본 보존·공개 범위·말투·오탈자·줄바꿈·접근성 이름 대조</x:v>
      </x:c>
    </x:row>
    <x:row r="59" ht="63.75" customHeight="1">
      <x:c r="A59" s="3" t="str">
        <x:v>NATIVE.PHOTOS</x:v>
      </x:c>
      <x:c r="B59" s="3" t="str">
        <x:v>사진 권한</x:v>
      </x:c>
      <x:c r="C59" s="3" t="str">
        <x:v>여행 사진과 영수증을 선택하기 위해 사진 접근이 필요합니다.</x:v>
      </x:c>
      <x:c r="D59" s="3" t="str">
        <x:v>Allow photo access to choose travel photos and receipts.</x:v>
      </x:c>
      <x:c r="E59" s="3" t="str">
        <x:v>KO 현재 / EN 미반영 초안</x:v>
      </x:c>
      <x:c r="F59" s="3" t="str">
        <x:v>실제 행동·원본 보존·공개 범위·말투·오탈자·줄바꿈·접근성 이름 대조</x:v>
      </x:c>
    </x:row>
    <x:row r="60" ht="63.75" customHeight="1">
      <x:c r="A60" s="3" t="str">
        <x:v>COST.ACTUAL</x:v>
      </x:c>
      <x:c r="B60" s="3" t="str">
        <x:v>비용</x:v>
      </x:c>
      <x:c r="C60" s="3" t="str">
        <x:v>실제</x:v>
      </x:c>
      <x:c r="D60" s="3" t="str">
        <x:v>Actual spending</x:v>
      </x:c>
      <x:c r="E60" s="3" t="str">
        <x:v>KO 현재 / EN 미반영 초안</x:v>
      </x:c>
      <x:c r="F60" s="3" t="str">
        <x:v>실제 행동·원본 보존·공개 범위·말투·오탈자·줄바꿈·접근성 이름 대조</x:v>
      </x:c>
    </x:row>
    <x:row r="61" ht="63.75" customHeight="1">
      <x:c r="A61" s="3" t="str">
        <x:v>COST.PLANNED</x:v>
      </x:c>
      <x:c r="B61" s="3" t="str">
        <x:v>비용</x:v>
      </x:c>
      <x:c r="C61" s="3" t="str">
        <x:v>예상</x:v>
      </x:c>
      <x:c r="D61" s="3" t="str">
        <x:v>Planned spending</x:v>
      </x:c>
      <x:c r="E61" s="3" t="str">
        <x:v>KO 현재 / EN 미반영 초안</x:v>
      </x:c>
      <x:c r="F61" s="3" t="str">
        <x:v>실제 행동·원본 보존·공개 범위·말투·오탈자·줄바꿈·접근성 이름 대조</x:v>
      </x:c>
    </x:row>
    <x:row r="62" ht="63.75" customHeight="1">
      <x:c r="A62" s="3" t="str">
        <x:v>HUB.ADD</x:v>
      </x:c>
      <x:c r="B62" s="3" t="str">
        <x:v>일정</x:v>
      </x:c>
      <x:c r="C62" s="3" t="str">
        <x:v>일정 추가</x:v>
      </x:c>
      <x:c r="D62" s="3" t="str">
        <x:v>Add to itinerary</x:v>
      </x:c>
      <x:c r="E62" s="3" t="str">
        <x:v>KO 현재 / EN 미반영 초안</x:v>
      </x:c>
      <x:c r="F62" s="3" t="str">
        <x:v>실제 행동·원본 보존·공개 범위·말투·오탈자·줄바꿈·접근성 이름 대조</x:v>
      </x:c>
    </x:row>
    <x:row r="63" ht="63.75" customHeight="1">
      <x:c r="A63" s="3" t="str">
        <x:v>HUB.CAMERA</x:v>
      </x:c>
      <x:c r="B63" s="3" t="str">
        <x:v>고정 행동</x:v>
      </x:c>
      <x:c r="C63" s="3" t="str">
        <x:v>영수증 촬영</x:v>
      </x:c>
      <x:c r="D63" s="3" t="str">
        <x:v>Scan a receipt</x:v>
      </x:c>
      <x:c r="E63" s="3" t="str">
        <x:v>KO 현재 / EN 미반영 초안</x:v>
      </x:c>
      <x:c r="F63" s="3" t="str">
        <x:v>실제 행동·원본 보존·공개 범위·말투·오탈자·줄바꿈·접근성 이름 대조</x:v>
      </x:c>
    </x:row>
    <x:row r="64" ht="63.75" customHeight="1">
      <x:c r="A64" s="3" t="str">
        <x:v>HUB.LIBRARY</x:v>
      </x:c>
      <x:c r="B64" s="3" t="str">
        <x:v>고정 행동</x:v>
      </x:c>
      <x:c r="C64" s="3" t="str">
        <x:v>영수증 사진 선택</x:v>
      </x:c>
      <x:c r="D64" s="3" t="str">
        <x:v>Choose a receipt photo</x:v>
      </x:c>
      <x:c r="E64" s="3" t="str">
        <x:v>KO 현재 / EN 미반영 초안</x:v>
      </x:c>
      <x:c r="F64" s="3" t="str">
        <x:v>실제 행동·원본 보존·공개 범위·말투·오탈자·줄바꿈·접근성 이름 대조</x:v>
      </x:c>
    </x:row>
    <x:row r="65" ht="63.75" customHeight="1">
      <x:c r="A65" s="3" t="str">
        <x:v>HUB.MANAGE</x:v>
      </x:c>
      <x:c r="B65" s="3" t="str">
        <x:v>일정 카드</x:v>
      </x:c>
      <x:c r="C65" s="3" t="str">
        <x:v>일정 관리</x:v>
      </x:c>
      <x:c r="D65" s="3" t="str">
        <x:v>Manage this stop</x:v>
      </x:c>
      <x:c r="E65" s="3" t="str">
        <x:v>KO 현재 / EN 미반영 초안</x:v>
      </x:c>
      <x:c r="F65" s="3" t="str">
        <x:v>실제 행동·원본 보존·공개 범위·말투·오탈자·줄바꿈·접근성 이름 대조</x:v>
      </x:c>
    </x:row>
    <x:row r="66" ht="63.75" customHeight="1">
      <x:c r="A66" s="3" t="str">
        <x:v>RECEIPT.CAPTURE</x:v>
      </x:c>
      <x:c r="B66" s="3" t="str">
        <x:v>촬영 안내</x:v>
      </x:c>
      <x:c r="C66" s="3" t="str">
        <x:v>카메라로 영수증 촬영</x:v>
      </x:c>
      <x:c r="D66" s="3" t="str">
        <x:v>Take a receipt photo</x:v>
      </x:c>
      <x:c r="E66" s="3" t="str">
        <x:v>KO 현재 / EN 미반영 초안</x:v>
      </x:c>
      <x:c r="F66" s="3" t="str">
        <x:v>실제 행동·원본 보존·공개 범위·말투·오탈자·줄바꿈·접근성 이름 대조</x:v>
      </x:c>
    </x:row>
    <x:row r="67" ht="63.75" customHeight="1">
      <x:c r="A67" s="3" t="str">
        <x:v>RECEIPT.LIBRARY</x:v>
      </x:c>
      <x:c r="B67" s="3" t="str">
        <x:v>촬영 안내</x:v>
      </x:c>
      <x:c r="C67" s="3" t="str">
        <x:v>앨범에서 영수증 선택</x:v>
      </x:c>
      <x:c r="D67" s="3" t="str">
        <x:v>Choose from your photos</x:v>
      </x:c>
      <x:c r="E67" s="3" t="str">
        <x:v>KO 현재 / EN 미반영 초안</x:v>
      </x:c>
      <x:c r="F67" s="3" t="str">
        <x:v>실제 행동·원본 보존·공개 범위·말투·오탈자·줄바꿈·접근성 이름 대조</x:v>
      </x:c>
    </x:row>
    <x:row r="68" ht="63.75" customHeight="1">
      <x:c r="A68" s="3" t="str">
        <x:v>RECEIPT.CANCEL</x:v>
      </x:c>
      <x:c r="B68" s="3" t="str">
        <x:v>촬영 안내</x:v>
      </x:c>
      <x:c r="C68" s="3" t="str">
        <x:v>나중에 할게요</x:v>
      </x:c>
      <x:c r="D68" s="3" t="str">
        <x:v>Maybe later</x:v>
      </x:c>
      <x:c r="E68" s="3" t="str">
        <x:v>KO 현재 / EN 미반영 초안</x:v>
      </x:c>
      <x:c r="F68" s="3" t="str">
        <x:v>실제 행동·원본 보존·공개 범위·말투·오탈자·줄바꿈·접근성 이름 대조</x:v>
      </x:c>
    </x:row>
    <x:row r="69" ht="63.75" customHeight="1">
      <x:c r="A69" s="3" t="str">
        <x:v>RECEIPT.INFO_YES</x:v>
      </x:c>
      <x:c r="B69" s="3" t="str">
        <x:v>정보 확인</x:v>
      </x:c>
      <x:c r="C69" s="3" t="str">
        <x:v>맞아요, 일정에 추가할게요</x:v>
      </x:c>
      <x:c r="D69" s="3" t="str">
        <x:v>The details are correct</x:v>
      </x:c>
      <x:c r="E69" s="3" t="str">
        <x:v>KO 현재: 저장 오인 검토 / EN 초안</x:v>
      </x:c>
      <x:c r="F69" s="3" t="str">
        <x:v>실제 행동·원본 보존·공개 범위·말투·오탈자·줄바꿈·접근성 이름 대조</x:v>
      </x:c>
    </x:row>
    <x:row r="70" ht="63.75" customHeight="1">
      <x:c r="A70" s="3" t="str">
        <x:v>RECEIPT.INFO_NO</x:v>
      </x:c>
      <x:c r="B70" s="3" t="str">
        <x:v>정보 확인</x:v>
      </x:c>
      <x:c r="C70" s="3" t="str">
        <x:v>아니요, 수정할게요</x:v>
      </x:c>
      <x:c r="D70" s="3" t="str">
        <x:v>Edit the details</x:v>
      </x:c>
      <x:c r="E70" s="3" t="str">
        <x:v>KO 현재 / EN 미반영 초안</x:v>
      </x:c>
      <x:c r="F70" s="3" t="str">
        <x:v>실제 행동·원본 보존·공개 범위·말투·오탈자·줄바꿈·접근성 이름 대조</x:v>
      </x:c>
    </x:row>
    <x:row r="71" ht="63.75" customHeight="1">
      <x:c r="A71" s="3" t="str">
        <x:v>RECEIPT.PHOTO_QUESTION</x:v>
      </x:c>
      <x:c r="B71" s="3" t="str">
        <x:v>사진 보관</x:v>
      </x:c>
      <x:c r="C71" s="3" t="str">
        <x:v>영수증 사진도 함께 보관할까요?</x:v>
      </x:c>
      <x:c r="D71" s="3" t="str">
        <x:v>Keep the receipt photo with this record?</x:v>
      </x:c>
      <x:c r="E71" s="3" t="str">
        <x:v>KO 현재 / EN 미반영 초안</x:v>
      </x:c>
      <x:c r="F71" s="3" t="str">
        <x:v>실제 행동·원본 보존·공개 범위·말투·오탈자·줄바꿈·접근성 이름 대조</x:v>
      </x:c>
    </x:row>
    <x:row r="72" ht="63.75" customHeight="1">
      <x:c r="A72" s="3" t="str">
        <x:v>RECEIPT.PHOTO_YES</x:v>
      </x:c>
      <x:c r="B72" s="3" t="str">
        <x:v>사진 보관</x:v>
      </x:c>
      <x:c r="C72" s="3" t="str">
        <x:v>네, 사진도 보관할게요</x:v>
      </x:c>
      <x:c r="D72" s="3" t="str">
        <x:v>Yes, keep the photo</x:v>
      </x:c>
      <x:c r="E72" s="3" t="str">
        <x:v>KO 현재 / EN 미반영 초안</x:v>
      </x:c>
      <x:c r="F72" s="3" t="str">
        <x:v>실제 행동·원본 보존·공개 범위·말투·오탈자·줄바꿈·접근성 이름 대조</x:v>
      </x:c>
    </x:row>
    <x:row r="73" ht="63.75" customHeight="1">
      <x:c r="A73" s="3" t="str">
        <x:v>RECEIPT.PHOTO_NO</x:v>
      </x:c>
      <x:c r="B73" s="3" t="str">
        <x:v>사진 보관</x:v>
      </x:c>
      <x:c r="C73" s="3" t="str">
        <x:v>아니요, 정보만 저장할게요</x:v>
      </x:c>
      <x:c r="D73" s="3" t="str">
        <x:v>No, save the details only</x:v>
      </x:c>
      <x:c r="E73" s="3" t="str">
        <x:v>KO 현재 / EN 미반영 초안</x:v>
      </x:c>
      <x:c r="F73" s="3" t="str">
        <x:v>실제 행동·원본 보존·공개 범위·말투·오탈자·줄바꿈·접근성 이름 대조</x:v>
      </x:c>
    </x:row>
    <x:row r="74" ht="63.75" customHeight="1">
      <x:c r="A74" s="3" t="str">
        <x:v>RECEIPT.PHOTO_SCOPE</x:v>
      </x:c>
      <x:c r="B74" s="3" t="str">
        <x:v>사진 보관</x:v>
      </x:c>
      <x:c r="C74" s="3" t="str">
        <x:v>사진을 보관하면 나와 여행 친구가 원본을 다시 볼 수 있어요.</x:v>
      </x:c>
      <x:c r="D74" s="3" t="str">
        <x:v>You and your trip companions can view the original if you keep it.</x:v>
      </x:c>
      <x:c r="E74" s="3" t="str">
        <x:v>KO 현재 / EN 미반영 초안</x:v>
      </x:c>
      <x:c r="F74" s="3" t="str">
        <x:v>실제 행동·원본 보존·공개 범위·말투·오탈자·줄바꿈·접근성 이름 대조</x:v>
      </x:c>
    </x:row>
    <x:row r="75" ht="63.75" customHeight="1">
      <x:c r="A75" s="3" t="str">
        <x:v>RECEIPT.PHOTO_DISCARD</x:v>
      </x:c>
      <x:c r="B75" s="3" t="str">
        <x:v>사진 삭제</x:v>
      </x:c>
      <x:c r="C75" s="3" t="str">
        <x:v>장소·메뉴·실제 지출만 저장해요. 등록이 끝나면 인식에 사용한 사진은 삭제해요.</x:v>
      </x:c>
      <x:c r="D75" s="3" t="str">
        <x:v>Save the place, items, and actual spending. The scan photo is deleted once the record is saved.</x:v>
      </x:c>
      <x:c r="E75" s="3" t="str">
        <x:v>KO 현재 / EN 미반영 초안</x:v>
      </x:c>
      <x:c r="F75" s="3" t="str">
        <x:v>실제 행동·원본 보존·공개 범위·말투·오탈자·줄바꿈·접근성 이름 대조</x:v>
      </x:c>
    </x:row>
    <x:row r="76" ht="63.75" customHeight="1">
      <x:c r="A76" s="3" t="str">
        <x:v>RECEIPT.SAVE_CURRENT</x:v>
      </x:c>
      <x:c r="B76" s="3" t="str">
        <x:v>현재 최종 저장</x:v>
      </x:c>
      <x:c r="C76" s="3" t="str">
        <x:v>일정에 추가하기</x:v>
      </x:c>
      <x:c r="D76" s="3" t="str">
        <x:v>Add to itinerary</x:v>
      </x:c>
      <x:c r="E76" s="3" t="str">
        <x:v>KO 현재 / EN 미반영 초안</x:v>
      </x:c>
      <x:c r="F76" s="3" t="str">
        <x:v>실제 행동·원본 보존·공개 범위·말투·오탈자·줄바꿈·접근성 이름 대조</x:v>
      </x:c>
    </x:row>
    <x:row r="77" ht="63.75" customHeight="1">
      <x:c r="A77" s="3" t="str">
        <x:v>RECEIPT.SAVE_TARGET</x:v>
      </x:c>
      <x:c r="B77" s="3" t="str">
        <x:v>UX 개선 기준</x:v>
      </x:c>
      <x:c r="C77" s="3" t="str">
        <x:v>확인하고 일정에 추가</x:v>
      </x:c>
      <x:c r="D77" s="3" t="str">
        <x:v>Confirm and add to itinerary</x:v>
      </x:c>
      <x:c r="E77" s="3" t="str">
        <x:v>KO UX 목표 / EN 초안</x:v>
      </x:c>
      <x:c r="F77" s="3" t="str">
        <x:v>실제 행동·원본 보존·공개 범위·말투·오탈자·줄바꿈·접근성 이름 대조</x:v>
      </x:c>
    </x:row>
  </x:sheetData>
  <x:pageMargins left="0.7" right="0.7" top="0.75" bottom="0.75" header="0.3" footer="0.3"/>
  <x:tableParts count="1">
    <x:tablePart xmlns:r="http://schemas.openxmlformats.org/officeDocument/2006/relationships" r:id="R7de395b00d1a49a9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.5" hidden="0" customWidth="1"/>
    <x:col min="2" max="2" width="26.25" hidden="0" customWidth="1"/>
    <x:col min="3" max="3" width="81.25" hidden="0" customWidth="1"/>
    <x:col min="4" max="4" width="81.25" hidden="0" customWidth="1"/>
  </x:cols>
  <x:sheetData>
    <x:row r="1">
      <x:c r="A1" s="3"/>
      <x:c r="B1" s="3"/>
      <x:c r="C1" s="3"/>
      <x:c r="D1" s="3"/>
    </x:row>
    <x:row r="2" ht="27" customHeight="1">
      <x:c r="A2" s="5" t="str">
        <x:v>QA 데이터와 화면 순회 범위</x:v>
      </x:c>
      <x:c r="B2" s="3"/>
      <x:c r="C2" s="3"/>
      <x:c r="D2" s="3"/>
    </x:row>
    <x:row r="3">
      <x:c r="A3" s="3"/>
      <x:c r="B3" s="3"/>
      <x:c r="C3" s="3"/>
      <x:c r="D3" s="3"/>
    </x:row>
    <x:row r="4">
      <x:c r="A4" s="6" t="str">
        <x:v>실제 서비스 초기값에 테스트 자료를 넣지 않습니다. A/B/C QA 계정과 QA 여행만 생성·정리하며 고객 기록을 삭제하지 않습니다.</x:v>
      </x:c>
      <x:c r="B4" s="3"/>
      <x:c r="C4" s="3"/>
      <x:c r="D4" s="3"/>
    </x:row>
    <x:row r="5" ht="34.5" customHeight="1">
      <x:c r="A5" s="10" t="str">
        <x:v>데이터 ID</x:v>
      </x:c>
      <x:c r="B5" s="10" t="str">
        <x:v>대상</x:v>
      </x:c>
      <x:c r="C5" s="10" t="str">
        <x:v>준비 조건</x:v>
      </x:c>
      <x:c r="D5" s="10" t="str">
        <x:v>대조 기준</x:v>
      </x:c>
    </x:row>
    <x:row r="6" ht="82.5" customHeight="1">
      <x:c r="A6" s="3" t="str">
        <x:v>TD-01</x:v>
      </x:c>
      <x:c r="B6" s="3" t="str">
        <x:v>기본 여행</x:v>
      </x:c>
      <x:c r="C6" s="3" t="str">
        <x:v>QA_A_도쿄 / 일본·도쿄 / 2026-10-07~09 / Asia/Tokyo / 기본 JPY</x:v>
      </x:c>
      <x:c r="D6" s="3" t="str">
        <x:v>A 소유자가 직접 생성. 여행 중·예정·완료 상태는 별도 여행으로 검증. 테스트 자료는 앱 초기값에 넣지 않는다.</x:v>
      </x:c>
    </x:row>
    <x:row r="7" ht="82.5" customHeight="1">
      <x:c r="A7" s="3" t="str">
        <x:v>TD-02</x:v>
      </x:c>
      <x:c r="B7" s="3" t="str">
        <x:v>제공된 일본어 영수증</x:v>
      </x:c>
      <x:c r="C7" s="3" t="str">
        <x:v>별도 TEST_RECEIPT_A 여행 2026-09-26~28. Kagerou Cafe / 和歌山県西牟婁郡白浜町1279-3 / 2026-09-28 16:36 / JPY 2450</x:v>
      </x:c>
      <x:c r="D7" s="3" t="str">
        <x:v>메뉴 6種ミックス 1×1250, みかんしぼり 1×600, はっさくソーダ 1×600. DAY3. 입점 13:50·내세금 222·거스름돈 0은 결제 일시/합계와 구별.</x:v>
      </x:c>
    </x:row>
    <x:row r="8" ht="82.5" customHeight="1">
      <x:c r="A8" s="3" t="str">
        <x:v>TD-03</x:v>
      </x:c>
      <x:c r="B8" s="3" t="str">
        <x:v>사진 크기와 MIME</x:v>
      </x:c>
      <x:c r="C8" s="3" t="str">
        <x:v>작은 정상 JPEG/PNG, 실제 8MB PNG, 실제 전송 4,194,305바이트, 위장한 텍스트 파일</x:v>
      </x:c>
      <x:c r="D8" s="3" t="str">
        <x:v>원본·압축 후 전송 크기를 별도 기록. 정상 큰 이미지 앱 압축과 서버 초과 전송 거부를 구별.</x:v>
      </x:c>
    </x:row>
    <x:row r="9" ht="82.5" customHeight="1">
      <x:c r="A9" s="3" t="str">
        <x:v>TD-04</x:v>
      </x:c>
      <x:c r="B9" s="3" t="str">
        <x:v>초대와 지도 공유</x:v>
      </x:c>
      <x:c r="C9" s="3" t="str">
        <x:v>보기/편집 초대 1개씩. 정상 단일 Google Maps 공유 링크. 잘못된 외부 링크·깨진 URL.</x:v>
      </x:c>
      <x:c r="D9" s="3" t="str">
        <x:v>A 소유자, B 보기→편집, C 비멤버→참여/제거. 토큰·서명 URL·비밀번호는 문서에 기록하지 않는다.</x:v>
      </x:c>
    </x:row>
    <x:row r="10" ht="82.5" customHeight="1">
      <x:c r="A10" s="3" t="str">
        <x:v>TD-05</x:v>
      </x:c>
      <x:c r="B10" s="3" t="str">
        <x:v>불완전한 영수증</x:v>
      </x:c>
      <x:c r="C10" s="3" t="str">
        <x:v>흐림·회전·일부 잘림·어두움·상호 누락·날짜 누락·합계 누락 사진</x:v>
      </x:c>
      <x:c r="D10" s="3" t="str">
        <x:v>실제 이미지 파일은 테스트 전에 준비. 인식 누락·오독을 원본과 대조하고 정상 값을 임의 생성하지 않는지 확인.</x:v>
      </x:c>
    </x:row>
    <x:row r="11" ht="82.5" customHeight="1">
      <x:c r="A11" s="3" t="str">
        <x:v>TD-06</x:v>
      </x:c>
      <x:c r="B11" s="3" t="str">
        <x:v>다국어·긴 텍스트</x:v>
      </x:c>
      <x:c r="C11" s="3" t="str">
        <x:v>東京の思い出 / Café São João / 김하루 / TripPrint ✈️ / &lt;script&gt;alert(1)&lt;/script&gt; / 아주 긴 여행명·닉네임·주소</x:v>
      </x:c>
      <x:c r="D11" s="3" t="str">
        <x:v>사용자 원문 보존, HTML/코드 비실행, 줄바꿈·검색·공유·폰트 검사. 테스트 스크립트 문자는 서비스 데이터로만 입력.</x:v>
      </x:c>
    </x:row>
    <x:row r="12" ht="82.5" customHeight="1">
      <x:c r="A12" s="3" t="str">
        <x:v>TD-07</x:v>
      </x:c>
      <x:c r="B12" s="3" t="str">
        <x:v>기기와 언어</x:v>
      </x:c>
      <x:c r="C12" s="3" t="str">
        <x:v>Android 실기기·웹. iOS는 서명된 배포 확보 후. 320/360/390dp. 글자 크기 100%/200%. ko-KR/en-US/en-GB/ja-JP/fr-FR.</x:v>
      </x:c>
      <x:c r="D12" s="3" t="str">
        <x:v>기기·OS·앱 버전·APK Build ID·versionCode·UI 언어·시스템 언어·시간대·네트워크를 각 실행의 증거에 기록.</x:v>
      </x:c>
    </x:row>
    <x:row r="13" ht="82.5" customHeight="1">
      <x:c r="A13" s="3" t="str">
        <x:v>TD-08</x:v>
      </x:c>
      <x:c r="B13" s="3" t="str">
        <x:v>영문 영수증 fixture</x:v>
      </x:c>
      <x:c r="C13" s="3" t="str">
        <x:v>가상 Blue Harbor Cafe / 45 Ocean Ave / 2026-10-02 18:25 / USD. Soup 2×6.00=12.00, Pasta 1×8.00=8.00 / Subtotal 20.00 / Tax 1.80 / Tip 3.50 / Total 25.30 / Cash 30.00 / Change 4.70</x:v>
      </x:c>
      <x:c r="D13" s="3" t="str">
        <x:v>실제 영수증 사진/이미지 fixture를 준비하고 원본을 보존. 결제 합계 USD 25.30. 통화·날짜·수량·단가·세금·팁·거스름돈의 역할을 구별.</x:v>
      </x:c>
    </x:row>
    <x:row r="14" ht="82.5" customHeight="1">
      <x:c r="A14" s="3" t="str">
        <x:v>TD-09</x:v>
      </x:c>
      <x:c r="B14" s="3" t="str">
        <x:v>한국어 영수증 fixture</x:v>
      </x:c>
      <x:c r="C14" s="3" t="str">
        <x:v>가상 하루식당 / 서울시 중구 / 2026-10-02 12:30 / 김치찌개 2×8000=16000 / 사이다 1×2000=2000 / 합계 KRW 18000</x:v>
      </x:c>
      <x:c r="D14" s="3" t="str">
        <x:v>한국어 원문을 유지하고 EN UI에서도 자동 추출 후보를 확인. fixture 이미지는 테스트 전에 준비.</x:v>
      </x:c>
    </x:row>
    <x:row r="15" ht="82.5" customHeight="1">
      <x:c r="A15" s="3" t="str">
        <x:v>TD-10</x:v>
      </x:c>
      <x:c r="B15" s="3" t="str">
        <x:v>영문 적용 기본안</x:v>
      </x:c>
      <x:c r="C15" s="3" t="str">
        <x:v>지원 UI: 한국어/English. 최초 ko 계열은 한국어, 그 외는 English. 사용자가 선택한 언어를 최우선으로 보존.</x:v>
      </x:c>
      <x:c r="D15" s="3" t="str">
        <x:v>현재 구현 완료라는 뜻이 아니다. 언어 선택/영문 리소스 적용 후 EN 회차에서 검증. 팀에서 기본안 변경 시 기대 결과를 함께 수정.</x:v>
      </x:c>
    </x:row>
    <x:row r="16" ht="82.5" customHeight="1">
      <x:c r="A16" s="3" t="str">
        <x:v>TD-11</x:v>
      </x:c>
      <x:c r="B16" s="3" t="str">
        <x:v>숫자·날짜·시간 기본안</x:v>
      </x:c>
      <x:c r="C16" s="3" t="str">
        <x:v>내부 날짜는 ISO 달력 날짜 유지. 영문 표시는 Sep 28, 2026 또는 ISO 등 비모호 형식. 결제 시각은 여행 현지 시간. 금액은 ISO 통화와 정확한 소수 단위.</x:v>
      </x:c>
      <x:c r="D16" s="3" t="str">
        <x:v>UI 언어·기기 시간대를 바꿔도 여행 날짜·DAY·금액·통화·결제 시각은 바뀌지 않는다. EN 문구는 검토용 초안이며 제품 확정 후 기준으로 사용.</x:v>
      </x:c>
    </x:row>
    <x:row r="17" ht="82.5" customHeight="1">
      <x:c r="A17" s="3" t="str">
        <x:v>ND-01</x:v>
      </x:c>
      <x:c r="B17" s="3" t="str">
        <x:v>네트워크와 오류</x:v>
      </x:c>
      <x:c r="C17" s="3" t="str">
        <x:v>정상/느림/오프라인/중간 끊김. 401·403·409·410·422·429·503·시간초과·잘못된 응답을 QA 환경에서 제어.</x:v>
      </x:c>
      <x:c r="D17" s="3" t="str">
        <x:v>실제 사용자에게 장애를 유발하지 않는다. 성공·실패·빈 상태를 구별하고 입력 보존·동일 기록 중복 방지·복구 행동을 확인.</x:v>
      </x:c>
    </x:row>
    <x:row r="18" ht="82.5" customHeight="1">
      <x:c r="A18" s="3" t="str">
        <x:v>TD-12</x:v>
      </x:c>
      <x:c r="B18" s="3" t="str">
        <x:v>사진 보관 두 갈래</x:v>
      </x:c>
      <x:c r="C18" s="3" t="str">
        <x:v>같은 영수증을 서로 다른 QA 여행에서 네/아니요로 각각 등록. 기록 ID·원본 삭제 여부 대조.</x:v>
      </x:c>
      <x:c r="D18" s="3" t="str">
        <x:v>TC-082~084,086~088. 결과 비교 후 QA 계정이 생성한 자료만 정리.</x:v>
      </x:c>
    </x:row>
    <x:row r="19" ht="82.5" customHeight="1">
      <x:c r="A19" s="3" t="str">
        <x:v>TD-13</x:v>
      </x:c>
      <x:c r="B19" s="3" t="str">
        <x:v>APK 업데이트</x:v>
      </x:c>
      <x:c r="C19" s="3" t="str">
        <x:v>사용자가 빌드한 새 preview APK. EAS Build ID·commit·versionCode·다운로드 URL. 기존 동일 서명 APK.</x:v>
      </x:c>
      <x:c r="D19" s="3" t="str">
        <x:v>TC-001~004,061,099. 웹 또는 번들 성공을 기기 통과로 대체하지 않는다.</x:v>
      </x:c>
    </x:row>
    <x:row r="20">
      <x:c r="A20" s="3"/>
      <x:c r="B20" s="3"/>
      <x:c r="C20" s="3"/>
      <x:c r="D20" s="3"/>
    </x:row>
    <x:row r="21">
      <x:c r="A21" s="3"/>
      <x:c r="B21" s="3"/>
      <x:c r="C21" s="3"/>
      <x:c r="D21" s="3"/>
    </x:row>
    <x:row r="22">
      <x:c r="A22" s="3"/>
      <x:c r="B22" s="3"/>
      <x:c r="C22" s="3"/>
      <x:c r="D22" s="3"/>
    </x:row>
    <x:row r="23">
      <x:c r="A23" s="6" t="str">
        <x:v>화면 순회: 각 항목의 정상·입력·빈 기록·로딩·권한·오류 문구를 검사</x:v>
      </x:c>
      <x:c r="B23" s="3"/>
      <x:c r="C23" s="3"/>
      <x:c r="D23" s="3"/>
    </x:row>
    <x:row r="24">
      <x:c r="A24" s="3"/>
      <x:c r="B24" s="3"/>
      <x:c r="C24" s="3"/>
      <x:c r="D24" s="3"/>
    </x:row>
    <x:row r="25" ht="34.5" customHeight="1">
      <x:c r="A25" s="10" t="str">
        <x:v>화면</x:v>
      </x:c>
      <x:c r="B25" s="10" t="str">
        <x:v>진입 경로</x:v>
      </x:c>
      <x:c r="C25" s="10" t="str">
        <x:v>상태·확인 범위</x:v>
      </x:c>
      <x:c r="D25" s="10" t="str">
        <x:v>실행 대상</x:v>
      </x:c>
    </x:row>
    <x:row r="26" ht="60" customHeight="1">
      <x:c r="A26" s="3" t="str">
        <x:v>홈</x:v>
      </x:c>
      <x:c r="B26" s="3" t="str">
        <x:v>/</x:v>
      </x:c>
      <x:c r="C26" s="3" t="str">
        <x:v>게스트·여행 0개·여행 중·조회 실패</x:v>
      </x:c>
      <x:c r="D26" s="3" t="str">
        <x:v>KO는 현재 APK, EN은 지원 빌드. 기능 TC·TXT-001~032·EN-007~010을 함께 기록.</x:v>
      </x:c>
    </x:row>
    <x:row r="27" ht="60" customHeight="1">
      <x:c r="A27" s="3" t="str">
        <x:v>인증</x:v>
      </x:c>
      <x:c r="B27" s="3" t="str">
        <x:v>/login, /auth/callback</x:v>
      </x:c>
      <x:c r="C27" s="3" t="str">
        <x:v>가입·이메일 로그인·실패·만료·복귀</x:v>
      </x:c>
      <x:c r="D27" s="3" t="str">
        <x:v>KO는 현재 APK, EN은 지원 빌드. 기능 TC·TXT-001~032·EN-007~010을 함께 기록.</x:v>
      </x:c>
    </x:row>
    <x:row r="28" ht="60" customHeight="1">
      <x:c r="A28" s="3" t="str">
        <x:v>내 여행</x:v>
      </x:c>
      <x:c r="B28" s="3" t="str">
        <x:v>홈 / 내 여행 목록</x:v>
      </x:c>
      <x:c r="C28" s="3" t="str">
        <x:v>0개·목록·조회 실패</x:v>
      </x:c>
      <x:c r="D28" s="3" t="str">
        <x:v>KO는 현재 APK, EN은 지원 빌드. 기능 TC·TXT-001~032·EN-007~010을 함께 기록.</x:v>
      </x:c>
    </x:row>
    <x:row r="29" ht="60" customHeight="1">
      <x:c r="A29" s="3" t="str">
        <x:v>새 여행</x:v>
      </x:c>
      <x:c r="B29" s="3" t="str">
        <x:v>/new-trip</x:v>
      </x:c>
      <x:c r="C29" s="3" t="str">
        <x:v>목적지·기간·항공·입력 오류·취소</x:v>
      </x:c>
      <x:c r="D29" s="3" t="str">
        <x:v>KO는 현재 APK, EN은 지원 빌드. 기능 TC·TXT-001~032·EN-007~010을 함께 기록.</x:v>
      </x:c>
    </x:row>
    <x:row r="30" ht="60" customHeight="1">
      <x:c r="A30" s="3" t="str">
        <x:v>여행 허브</x:v>
      </x:c>
      <x:c r="B30" s="3" t="str">
        <x:v>/trips/:id</x:v>
      </x:c>
      <x:c r="C30" s="3" t="str">
        <x:v>헤더·DAY·타임라인·설정·읽기 전용</x:v>
      </x:c>
      <x:c r="D30" s="3" t="str">
        <x:v>KO는 현재 APK, EN은 지원 빌드. 기능 TC·TXT-001~032·EN-007~010을 함께 기록.</x:v>
      </x:c>
    </x:row>
    <x:row r="31" ht="60" customHeight="1">
      <x:c r="A31" s="3" t="str">
        <x:v>일정</x:v>
      </x:c>
      <x:c r="B31" s="3" t="str">
        <x:v>여행 허브 / 일정 추가</x:v>
      </x:c>
      <x:c r="C31" s="3" t="str">
        <x:v>분류·장소·시간·사진·수정·삭제</x:v>
      </x:c>
      <x:c r="D31" s="3" t="str">
        <x:v>KO는 현재 APK, EN은 지원 빌드. 기능 TC·TXT-001~032·EN-007~010을 함께 기록.</x:v>
      </x:c>
    </x:row>
    <x:row r="32" ht="60" customHeight="1">
      <x:c r="A32" s="3" t="str">
        <x:v>영수증 촬영</x:v>
      </x:c>
      <x:c r="B32" s="3" t="str">
        <x:v>여행 허브 / 촬영·앨범</x:v>
      </x:c>
      <x:c r="C32" s="3" t="str">
        <x:v>안내·권한·시스템 카메라·취소·인식</x:v>
      </x:c>
      <x:c r="D32" s="3" t="str">
        <x:v>KO는 현재 APK, EN은 지원 빌드. 기능 TC·TXT-001~032·EN-007~010을 함께 기록.</x:v>
      </x:c>
    </x:row>
    <x:row r="33" ht="60" customHeight="1">
      <x:c r="A33" s="3" t="str">
        <x:v>영수증 확인</x:v>
      </x:c>
      <x:c r="B33" s="3" t="str">
        <x:v>영수증 모달</x:v>
      </x:c>
      <x:c r="C33" s="3" t="str">
        <x:v>후보·오독 수정·정보 Y/N·사진 Y/N·최종 저장</x:v>
      </x:c>
      <x:c r="D33" s="3" t="str">
        <x:v>KO는 현재 APK, EN은 지원 빌드. 기능 TC·TXT-001~032·EN-007~010을 함께 기록.</x:v>
      </x:c>
    </x:row>
    <x:row r="34" ht="60" customHeight="1">
      <x:c r="A34" s="3" t="str">
        <x:v>비용·체크리스트</x:v>
      </x:c>
      <x:c r="B34" s="3" t="str">
        <x:v>여행 허브 / 각 탭</x:v>
      </x:c>
      <x:c r="C34" s="3" t="str">
        <x:v>실제/예상·통화별 합계·완료·오류</x:v>
      </x:c>
      <x:c r="D34" s="3" t="str">
        <x:v>KO는 현재 APK, EN은 지원 빌드. 기능 TC·TXT-001~032·EN-007~010을 함께 기록.</x:v>
      </x:c>
    </x:row>
    <x:row r="35" ht="60" customHeight="1">
      <x:c r="A35" s="3" t="str">
        <x:v>동행·초대</x:v>
      </x:c>
      <x:c r="B35" s="3" t="str">
        <x:v>여행 허브 / 멤버, /invite</x:v>
      </x:c>
      <x:c r="C35" s="3" t="str">
        <x:v>보기·편집·로그인 복귀·취소·참여 해제</x:v>
      </x:c>
      <x:c r="D35" s="3" t="str">
        <x:v>KO는 현재 APK, EN은 지원 빌드. 기능 TC·TXT-001~032·EN-007~010을 함께 기록.</x:v>
      </x:c>
    </x:row>
    <x:row r="36" ht="60" customHeight="1">
      <x:c r="A36" s="3" t="str">
        <x:v>지도 가져오기</x:v>
      </x:c>
      <x:c r="B36" s="3" t="str">
        <x:v>/import-place</x:v>
      </x:c>
      <x:c r="C36" s="3" t="str">
        <x:v>단일 링크·잘못된 링크·공유 시트·복귀</x:v>
      </x:c>
      <x:c r="D36" s="3" t="str">
        <x:v>KO는 현재 APK, EN은 지원 빌드. 기능 TC·TXT-001~032·EN-007~010을 함께 기록.</x:v>
      </x:c>
    </x:row>
    <x:row r="37" ht="60" customHeight="1">
      <x:c r="A37" s="3" t="str">
        <x:v>다이어리·발자국</x:v>
      </x:c>
      <x:c r="B37" s="3" t="str">
        <x:v>/diary/:id, /footprints</x:v>
      </x:c>
      <x:c r="C37" s="3" t="str">
        <x:v>완료 여행·없는 기록·사진·합계</x:v>
      </x:c>
      <x:c r="D37" s="3" t="str">
        <x:v>KO는 현재 APK, EN은 지원 빌드. 기능 TC·TXT-001~032·EN-007~010을 함께 기록.</x:v>
      </x:c>
    </x:row>
    <x:row r="38" ht="60" customHeight="1">
      <x:c r="A38" s="3" t="str">
        <x:v>커뮤니티</x:v>
      </x:c>
      <x:c r="B38" s="3" t="str">
        <x:v>/community</x:v>
      </x:c>
      <x:c r="C38" s="3" t="str">
        <x:v>빈 피드·게시·공개 범위·철회·신고·차단</x:v>
      </x:c>
      <x:c r="D38" s="3" t="str">
        <x:v>KO는 현재 APK, EN은 지원 빌드. 기능 TC·TXT-001~032·EN-007~010을 함께 기록.</x:v>
      </x:c>
    </x:row>
    <x:row r="39" ht="60" customHeight="1">
      <x:c r="A39" s="3" t="str">
        <x:v>마이·이전 기록</x:v>
      </x:c>
      <x:c r="B39" s="3" t="str">
        <x:v>/my, /local-records</x:v>
      </x:c>
      <x:c r="C39" s="3" t="str">
        <x:v>프로필·로그아웃·기기 저장 범위</x:v>
      </x:c>
      <x:c r="D39" s="3" t="str">
        <x:v>KO는 현재 APK, EN은 지원 빌드. 기능 TC·TXT-001~032·EN-007~010을 함께 기록.</x:v>
      </x:c>
    </x:row>
    <x:row r="40" ht="60" customHeight="1">
      <x:c r="A40" s="3" t="str">
        <x:v>오류·하루</x:v>
      </x:c>
      <x:c r="B40" s="3" t="str">
        <x:v>없는 경로·각 기능 실패</x:v>
      </x:c>
      <x:c r="C40" s="3" t="str">
        <x:v>로딩·빈 상태·실패·재시도·홈 복귀</x:v>
      </x:c>
      <x:c r="D40" s="3" t="str">
        <x:v>KO는 현재 APK, EN은 지원 빌드. 기능 TC·TXT-001~032·EN-007~010을 함께 기록.</x:v>
      </x:c>
    </x:row>
    <x:row r="41">
      <x:c r="A41" s="3"/>
      <x:c r="B41" s="3"/>
      <x:c r="C41" s="3"/>
      <x:c r="D41" s="3"/>
    </x:row>
    <x:row r="42">
      <x:c r="A42" s="3"/>
      <x:c r="B42" s="3"/>
      <x:c r="C42" s="3"/>
      <x:c r="D42" s="3"/>
    </x:row>
    <x:row r="43">
      <x:c r="A43" s="6" t="str">
        <x:v>작성 근거: 기존 TC v2의 128건, 현행 여행 허브·영수증 확인·사진 선택 소스, 더미 제거 보고서와 릴리즈 검사.</x:v>
      </x:c>
      <x:c r="B43" s="3"/>
      <x:c r="C43" s="3"/>
      <x:c r="D43" s="3"/>
    </x:row>
    <x:row r="44">
      <x:c r="A44" s="3"/>
      <x:c r="B44" s="3"/>
      <x:c r="C44" s="3"/>
      <x:c r="D44" s="3"/>
    </x:row>
    <x:row r="45">
      <x:c r="A45" s="3"/>
      <x:c r="B45" s="3"/>
      <x:c r="C45" s="3"/>
      <x:c r="D45" s="3"/>
    </x:row>
    <x:row r="46">
      <x:c r="A46" s="3"/>
      <x:c r="B46" s="3"/>
      <x:c r="C46" s="3"/>
      <x:c r="D46" s="3"/>
    </x:row>
  </x:sheetData>
  <x:pageMargins left="0.7" right="0.7" top="0.75" bottom="0.75" header="0.3" footer="0.3"/>
  <x:tableParts count="2">
    <x:tablePart xmlns:r="http://schemas.openxmlformats.org/officeDocument/2006/relationships" r:id="R3ef89b561af04df8"/>
    <x:tablePart xmlns:r="http://schemas.openxmlformats.org/officeDocument/2006/relationships" r:id="R24b87e33d21843a5"/>
  </x:tableParts>
</x:worksheet>
</file>
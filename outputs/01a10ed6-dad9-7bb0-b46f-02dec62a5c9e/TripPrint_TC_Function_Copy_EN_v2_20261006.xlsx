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3c8ea4e1c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행요약" sheetId="1" r:id="Re6f2c2ae88af4d89"/>
    <x:sheet xmlns:r="http://schemas.openxmlformats.org/officeDocument/2006/relationships" name="TC" sheetId="2" r:id="Rfd01c77fcb584858"/>
    <x:sheet xmlns:r="http://schemas.openxmlformats.org/officeDocument/2006/relationships" name="문구기준" sheetId="3" r:id="R8cc288ce8e974ac9"/>
    <x:sheet xmlns:r="http://schemas.openxmlformats.org/officeDocument/2006/relationships" name="테스트데이터" sheetId="4" r:id="R9a6b2e220c27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yyyy-mm-dd"/>
    <x:numFmt numFmtId="202" formatCode="0"/>
  </x:numFmts>
  <x:fonts count="4">
    <x:font>
      <x:sz val="11"/>
      <x:name val="Carlito"/>
    </x:font>
    <x:font>
      <x:sz val="11"/>
      <x:color rgb="FF203247"/>
      <x:name val="Arial"/>
    </x:font>
    <x:font>
      <x:b/>
      <x:sz val="16"/>
      <x:color rgb="FF20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247"/>
      </x:patternFill>
    </x:fill>
    <x:fill>
      <x:patternFill patternType="solid">
        <x:fgColor rgb="FFFFF4D5"/>
      </x:patternFill>
    </x:fill>
  </x:fills>
  <x:borders count="2">
    <x:border/>
    <x:border>
      <x:bottom style="thin">
        <x:color rgb="FFD9B1A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6">
    <x:dxf>
      <x:font>
        <x:b/>
        <x:color rgb="FFA61D24"/>
      </x:font>
      <x:fill>
        <x:patternFill patternType="solid">
          <x:bgColor rgb="FFFCE7E7"/>
        </x:patternFill>
      </x:fill>
    </x:dxf>
    <x:dxf>
      <x:font>
        <x:color rgb="FF8F4F00"/>
      </x:font>
      <x:fill>
        <x:patternFill patternType="solid">
          <x:bgColor rgb="FFFFE5C3"/>
        </x:patternFill>
      </x:fill>
    </x:dxf>
    <x:dxf>
      <x:font>
        <x:color rgb="FF738092"/>
      </x:font>
      <x:fill>
        <x:patternFill patternType="solid">
          <x:bgColor rgb="FFF0F2F5"/>
        </x:patternFill>
      </x:fill>
    </x:dxf>
    <x:dxf>
      <x:font>
        <x:b/>
        <x:color rgb="FFA61D24"/>
      </x:font>
      <x:fill>
        <x:patternFill patternType="solid">
          <x:bgColor rgb="FFFCE7E7"/>
        </x:patternFill>
      </x:fill>
    </x:dxf>
    <x:dxf>
      <x:font>
        <x:color rgb="FF8F4F00"/>
      </x:font>
      <x:fill>
        <x:patternFill patternType="solid">
          <x:bgColor rgb="FFFFE5C3"/>
        </x:patternFill>
      </x:fill>
    </x:dxf>
    <x:dxf>
      <x:font>
        <x:color rgb="FF738092"/>
      </x:font>
      <x:fill>
        <x:patternFill patternType="solid">
          <x:bgColor rgb="FFF0F2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c5dffb3db4238" /><Relationship Type="http://schemas.openxmlformats.org/officeDocument/2006/relationships/theme" Target="/xl/theme/theme1.xml" Id="Re48aeeacec594511" /><Relationship Type="http://schemas.openxmlformats.org/officeDocument/2006/relationships/sharedStrings" Target="/xl/sharedStrings.xml" Id="Rcb1c23cbf08d4338" /><Relationship Type="http://schemas.openxmlformats.org/officeDocument/2006/relationships/worksheet" Target="/xl/worksheets/sheet1.xml" Id="Re6f2c2ae88af4d89" /><Relationship Type="http://schemas.openxmlformats.org/officeDocument/2006/relationships/worksheet" Target="/xl/worksheets/sheet2.xml" Id="Rfd01c77fcb584858" /><Relationship Type="http://schemas.openxmlformats.org/officeDocument/2006/relationships/worksheet" Target="/xl/worksheets/sheet3.xml" Id="R8cc288ce8e974ac9" /><Relationship Type="http://schemas.openxmlformats.org/officeDocument/2006/relationships/worksheet" Target="/xl/worksheets/sheet4.xml" Id="R9a6b2e220c274a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2b66030b5b4b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검증 유형별 TC 수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TC 수</c:v>
          </c:tx>
          <c:spPr>
            <a:solidFill xmlns:a="http://schemas.openxmlformats.org/drawingml/2006/main">
              <a:srgbClr val="C84432"/>
            </a:solidFill>
          </c:spPr>
          <c:cat>
            <c:strRef>
              <c:f>'실행요약'!$D$5:$D$7</c:f>
              <c:strCache>
                <c:ptCount val="0"/>
              </c:strCache>
            </c:strRef>
          </c:cat>
          <c:val>
            <c:numRef>
              <c:f>'실행요약'!$E$5:$E$7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2b66030b5b4b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ipPrintTestCases" displayName="TripPrintTestCases" ref="A5:U133" headerRowCount="1" totalsRowCount="0" totalsRowShown="0">
  <x:tableColumns count="21">
    <x:tableColumn id="1" name="TC ID"/>
    <x:tableColumn id="2" name="우선순위"/>
    <x:tableColumn id="3" name="검증 종류"/>
    <x:tableColumn id="4" name="KO 결과"/>
    <x:tableColumn id="5" name="EN 결과"/>
    <x:tableColumn id="6" name="화면·기능"/>
    <x:tableColumn id="7" name="시나리오"/>
    <x:tableColumn id="8" name="언어 범위"/>
    <x:tableColumn id="9" name="실행 환경"/>
    <x:tableColumn id="10" name="사전 조건·데이터"/>
    <x:tableColumn id="11" name="실행 절차"/>
    <x:tableColumn id="12" name="기대 결과"/>
    <x:tableColumn id="13" name="문구 기준 ID"/>
    <x:tableColumn id="14" name="KO 실제 결과"/>
    <x:tableColumn id="15" name="EN 실제 결과"/>
    <x:tableColumn id="16" name="담당자"/>
    <x:tableColumn id="17" name="KO 실행 일시 KST"/>
    <x:tableColumn id="18" name="EN 실행 일시 KST"/>
    <x:tableColumn id="19" name="빌드·기기 참조"/>
    <x:tableColumn id="20" name="증거·결함 ID"/>
    <x:tableColumn id="21" name="결함 심각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ipPrintCopyBaseline" displayName="TripPrintCopyBaseline" ref="A5:F62" headerRowCount="1" totalsRowCount="0" totalsRowShown="0">
  <x:tableColumns count="6">
    <x:tableColumn id="1" name="문구 ID"/>
    <x:tableColumn id="2" name="화면·상황"/>
    <x:tableColumn id="3" name="한국어 기준"/>
    <x:tableColumn id="4" name="English draft"/>
    <x:tableColumn id="5" name="검사 기준"/>
    <x:tableColumn id="6" name="확정 여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ipPrintTestData" displayName="TripPrintTestData" ref="A5:D17" headerRowCount="1" totalsRowCount="0" totalsRowShown="0">
  <x:tableColumns count="4">
    <x:tableColumn id="1" name="데이터 ID"/>
    <x:tableColumn id="2" name="대상"/>
    <x:tableColumn id="3" name="준비 데이터·조건"/>
    <x:tableColumn id="4" name="대조 기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ipPrintScreenInventory" displayName="TripPrintScreenInventory" ref="A22:D61" headerRowCount="1" totalsRowCount="0" totalsRowShown="0">
  <x:tableColumns count="4">
    <x:tableColumn id="1" name="화면 ID"/>
    <x:tableColumn id="2" name="화면·상태"/>
    <x:tableColumn id="3" name="진입 위치"/>
    <x:tableColumn id="4" name="공통 검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34d692a0944a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49c0293cce46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14e6dd7cd74f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6551e2bf1a411d" /><Relationship Type="http://schemas.openxmlformats.org/officeDocument/2006/relationships/table" Target="/xl/tables/table4.xml" Id="R171b72e38e4d4975" /></Relationships>
</file>

<file path=xl/worksheets/sheet1.xml><?xml version="1.0" encoding="utf-8"?>
<x:worksheet xmlns:x="http://schemas.openxmlformats.org/spreadsheetml/2006/main">
  <x:sheetPr>
    <x:tabColor rgb="FF203247"/>
  </x:sheetPr>
  <x:sheetViews>
    <x:sheetView showGridLines="0" workbookViewId="0"/>
  </x:sheetViews>
  <x:sheetFormatPr defaultRowHeight="15"/>
  <x:cols>
    <x:col min="1" max="1" width="20.6299991607666" hidden="0" customWidth="1"/>
    <x:col min="2" max="2" width="53.75" hidden="0" customWidth="1"/>
    <x:col min="3" max="3" width="3.25" hidden="0" customWidth="1"/>
    <x:col min="4" max="4" width="18.1299991607666" hidden="0" customWidth="1"/>
    <x:col min="5" max="5" width="9.75" hidden="0" customWidth="1"/>
    <x:col min="6" max="6" width="11.25" hidden="0" customWidth="1"/>
    <x:col min="7" max="7" width="11.880000114440918" hidden="0" customWidth="1"/>
    <x:col min="8" max="8" width="16.879999160766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5.5" customHeight="1">
      <x:c r="A2" s="18" t="str">
        <x:v>TripPrint 기능·문구·영문 TC</x:v>
      </x:c>
      <x:c r="B2" s="3"/>
      <x:c r="C2" s="3"/>
      <x:c r="D2" s="3"/>
      <x:c r="E2" s="3"/>
      <x:c r="F2" s="3"/>
      <x:c r="G2" s="3"/>
      <x:c r="H2" s="3"/>
    </x:row>
    <x:row r="3">
      <x:c r="A3" s="5"/>
      <x:c r="B3" s="5"/>
      <x:c r="C3" s="5"/>
      <x:c r="D3" s="5"/>
      <x:c r="E3" s="5"/>
      <x:c r="F3" s="5"/>
      <x:c r="G3" s="5"/>
      <x:c r="H3" s="5"/>
    </x:row>
    <x:row r="4" ht="34.5" customHeight="1">
      <x:c r="A4" s="10" t="str">
        <x:v>실행 기준</x:v>
      </x:c>
      <x:c r="B4" s="10" t="str">
        <x:v>값·입력</x:v>
      </x:c>
      <x:c r="C4" s="3"/>
      <x:c r="D4" s="10" t="str">
        <x:v>검증 종류</x:v>
      </x:c>
      <x:c r="E4" s="10" t="str">
        <x:v>TC 수</x:v>
      </x:c>
      <x:c r="F4" s="10" t="str">
        <x:v>KO 통과</x:v>
      </x:c>
      <x:c r="G4" s="10" t="str">
        <x:v>EN 통과</x:v>
      </x:c>
      <x:c r="H4" s="10" t="str">
        <x:v>실패 실행 수</x:v>
      </x:c>
    </x:row>
    <x:row r="5" ht="25.5" customHeight="1">
      <x:c r="A5" s="3" t="str">
        <x:v>작성일</x:v>
      </x:c>
      <x:c r="B5" s="13" t="n">
        <x:v>46301</x:v>
      </x:c>
      <x:c r="C5" s="3"/>
      <x:c r="D5" s="3" t="str">
        <x:v>기능</x:v>
      </x:c>
      <x:c r="E5" s="16" t="n">
        <x:f>COUNTIFS('TC'!$C$6:$C$133,D5)</x:f>
        <x:v>76</x:v>
      </x:c>
      <x:c r="F5" s="16" t="n">
        <x:f>COUNTIFS('TC'!$C$6:$C$133,D5,'TC'!$H$6:$H$133,"KO·EN",'TC'!$D$6:$D$133,"통과")</x:f>
        <x:v>0</x:v>
      </x:c>
      <x:c r="G5" s="16" t="n">
        <x:f>COUNTIFS('TC'!$C$6:$C$133,D5,'TC'!$E$6:$E$133,"통과")</x:f>
        <x:v>0</x:v>
      </x:c>
      <x:c r="H5" s="16" t="n">
        <x:f>COUNTIFS('TC'!$C$6:$C$133,D5,'TC'!$H$6:$H$133,"KO·EN",'TC'!$D$6:$D$133,"실패")+COUNTIFS('TC'!$C$6:$C$133,D5,'TC'!$E$6:$E$133,"실패")</x:f>
        <x:v>0</x:v>
      </x:c>
    </x:row>
    <x:row r="6" ht="25.5" customHeight="1">
      <x:c r="A6" s="3" t="str">
        <x:v>웹 릴리즈</x:v>
      </x:c>
      <x:c r="B6" s="3" t="str">
        <x:v>test-1-service-copy</x:v>
      </x:c>
      <x:c r="C6" s="3"/>
      <x:c r="D6" s="3" t="str">
        <x:v>문구</x:v>
      </x:c>
      <x:c r="E6" s="16" t="n">
        <x:f>COUNTIFS('TC'!$C$6:$C$133,D6)</x:f>
        <x:v>26</x:v>
      </x:c>
      <x:c r="F6" s="16" t="n">
        <x:f>COUNTIFS('TC'!$C$6:$C$133,D6,'TC'!$H$6:$H$133,"KO·EN",'TC'!$D$6:$D$133,"통과")</x:f>
        <x:v>0</x:v>
      </x:c>
      <x:c r="G6" s="16" t="n">
        <x:f>COUNTIFS('TC'!$C$6:$C$133,D6,'TC'!$E$6:$E$133,"통과")</x:f>
        <x:v>0</x:v>
      </x:c>
      <x:c r="H6" s="16" t="n">
        <x:f>COUNTIFS('TC'!$C$6:$C$133,D6,'TC'!$H$6:$H$133,"KO·EN",'TC'!$D$6:$D$133,"실패")+COUNTIFS('TC'!$C$6:$C$133,D6,'TC'!$E$6:$E$133,"실패")</x:f>
        <x:v>0</x:v>
      </x:c>
    </x:row>
    <x:row r="7" ht="25.5" customHeight="1">
      <x:c r="A7" s="3" t="str">
        <x:v>소스 기준</x:v>
      </x:c>
      <x:c r="B7" s="3" t="str">
        <x:v>fc38cef / 2026-10-06</x:v>
      </x:c>
      <x:c r="C7" s="3"/>
      <x:c r="D7" s="3" t="str">
        <x:v>영문</x:v>
      </x:c>
      <x:c r="E7" s="16" t="n">
        <x:f>COUNTIFS('TC'!$C$6:$C$133,D7)</x:f>
        <x:v>26</x:v>
      </x:c>
      <x:c r="F7" s="16" t="n">
        <x:f>COUNTIFS('TC'!$C$6:$C$133,D7,'TC'!$H$6:$H$133,"KO·EN",'TC'!$D$6:$D$133,"통과")</x:f>
        <x:v>0</x:v>
      </x:c>
      <x:c r="G7" s="16" t="n">
        <x:f>COUNTIFS('TC'!$C$6:$C$133,D7,'TC'!$E$6:$E$133,"통과")</x:f>
        <x:v>0</x:v>
      </x:c>
      <x:c r="H7" s="16" t="n">
        <x:f>COUNTIFS('TC'!$C$6:$C$133,D7,'TC'!$H$6:$H$133,"KO·EN",'TC'!$D$6:$D$133,"실패")+COUNTIFS('TC'!$C$6:$C$133,D7,'TC'!$E$6:$E$133,"실패")</x:f>
        <x:v>0</x:v>
      </x:c>
    </x:row>
    <x:row r="8" ht="25.5" customHeight="1">
      <x:c r="A8" s="3" t="str">
        <x:v>웹 비교 주소</x:v>
      </x:c>
      <x:c r="B8" s="3" t="str">
        <x:v>https://wherego-staging.pages.dev</x:v>
      </x:c>
      <x:c r="C8" s="3"/>
      <x:c r="D8" s="3" t="str">
        <x:v>전체</x:v>
      </x:c>
      <x:c r="E8" s="16" t="n">
        <x:f>SUM(E5:E7)</x:f>
        <x:v>128</x:v>
      </x:c>
      <x:c r="F8" s="16" t="n">
        <x:f>SUM(F5:F7)</x:f>
        <x:v>0</x:v>
      </x:c>
      <x:c r="G8" s="16" t="n">
        <x:f>SUM(G5:G7)</x:f>
        <x:v>0</x:v>
      </x:c>
      <x:c r="H8" s="16" t="n">
        <x:f>SUM(H5:H7)</x:f>
        <x:v>0</x:v>
      </x:c>
    </x:row>
    <x:row r="9" ht="33" customHeight="1">
      <x:c r="A9" s="3" t="str">
        <x:v>빌드 언어 지원</x:v>
      </x:c>
      <x:c r="B9" s="11" t="str">
        <x:v>KO만</x:v>
      </x:c>
      <x:c r="C9" s="3"/>
      <x:c r="D9" s="3"/>
      <x:c r="E9" s="3"/>
      <x:c r="F9" s="3"/>
      <x:c r="G9" s="3"/>
      <x:c r="H9" s="3"/>
    </x:row>
    <x:row r="10" ht="34.5" customHeight="1">
      <x:c r="A10" s="3" t="str">
        <x:v>문구 기대값</x:v>
      </x:c>
      <x:c r="B10" s="3" t="str">
        <x:v>KO 현재 문자열 / EN 초안. 언어 기본안은 TD-10·11.</x:v>
      </x:c>
      <x:c r="C10" s="3"/>
      <x:c r="D10" s="10" t="str">
        <x:v>언어</x:v>
      </x:c>
      <x:c r="E10" s="10" t="str">
        <x:v>실행 대상</x:v>
      </x:c>
      <x:c r="F10" s="10" t="str">
        <x:v>통과</x:v>
      </x:c>
      <x:c r="G10" s="10" t="str">
        <x:v>실패</x:v>
      </x:c>
      <x:c r="H10" s="10" t="str">
        <x:v>미실행·차단</x:v>
      </x:c>
    </x:row>
    <x:row r="11" ht="42" customHeight="1">
      <x:c r="A11" s="3" t="str">
        <x:v>APK 다운로드 URL</x:v>
      </x:c>
      <x:c r="B11" s="11" t="str"/>
      <x:c r="C11" s="3"/>
      <x:c r="D11" s="3" t="str">
        <x:v>KO</x:v>
      </x:c>
      <x:c r="E11" s="16" t="n">
        <x:f>COUNTIFS('TC'!$H$6:$H$133,"KO·EN")</x:f>
        <x:v>102</x:v>
      </x:c>
      <x:c r="F11" s="16" t="n">
        <x:f>COUNTIFS('TC'!$H$6:$H$133,"KO·EN",'TC'!$D$6:$D$133,"통과")</x:f>
        <x:v>0</x:v>
      </x:c>
      <x:c r="G11" s="16" t="n">
        <x:f>COUNTIFS('TC'!$H$6:$H$133,"KO·EN",'TC'!$D$6:$D$133,"실패")</x:f>
        <x:v>0</x:v>
      </x:c>
      <x:c r="H11" s="16" t="n">
        <x:f>COUNTIFS('TC'!$H$6:$H$133,"KO·EN",'TC'!$D$6:$D$133,"미실행")+COUNTIFS('TC'!$H$6:$H$133,"KO·EN",'TC'!$D$6:$D$133,"차단")</x:f>
        <x:v>102</x:v>
      </x:c>
    </x:row>
    <x:row r="12" ht="42" customHeight="1">
      <x:c r="A12" s="3" t="str">
        <x:v>APK Build ID / versionCode</x:v>
      </x:c>
      <x:c r="B12" s="11" t="str"/>
      <x:c r="C12" s="3"/>
      <x:c r="D12" s="3" t="str">
        <x:v>EN</x:v>
      </x:c>
      <x:c r="E12" s="16" t="n">
        <x:f>COUNTA('TC'!$A$6:$A$133)</x:f>
        <x:v>128</x:v>
      </x:c>
      <x:c r="F12" s="16" t="n">
        <x:f>COUNTIFS('TC'!$E$6:$E$133,"통과")</x:f>
        <x:v>0</x:v>
      </x:c>
      <x:c r="G12" s="16" t="n">
        <x:f>COUNTIFS('TC'!$E$6:$E$133,"실패")</x:f>
        <x:v>0</x:v>
      </x:c>
      <x:c r="H12" s="16" t="n">
        <x:f>COUNTIFS('TC'!$E$6:$E$133,"미실행")+COUNTIFS('TC'!$E$6:$E$133,"차단")</x:f>
        <x:v>128</x:v>
      </x:c>
    </x:row>
    <x:row r="13" ht="42" customHeight="1">
      <x:c r="A13" s="3" t="str">
        <x:v>테스터 / 회차</x:v>
      </x:c>
      <x:c r="B13" s="11" t="str"/>
      <x:c r="C13" s="3"/>
      <x:c r="D13" s="3"/>
      <x:c r="E13" s="3"/>
      <x:c r="F13" s="3"/>
      <x:c r="G13" s="3"/>
      <x:c r="H13" s="3"/>
    </x:row>
    <x:row r="14" ht="42" customHeight="1">
      <x:c r="A14" s="3" t="str">
        <x:v>기기 모델 / OS</x:v>
      </x:c>
      <x:c r="B14" s="11" t="str"/>
      <x:c r="C14" s="3"/>
      <x:c r="D14" s="10" t="str">
        <x:v>제외·차단</x:v>
      </x:c>
      <x:c r="E14" s="10" t="str">
        <x:v>건수</x:v>
      </x:c>
      <x:c r="F14" s="3"/>
      <x:c r="G14" s="3"/>
      <x:c r="H14" s="3"/>
    </x:row>
    <x:row r="15" ht="42" customHeight="1">
      <x:c r="A15" s="3" t="str">
        <x:v>테스트 시작일</x:v>
      </x:c>
      <x:c r="B15" s="14"/>
      <x:c r="C15" s="3"/>
      <x:c r="D15" s="3" t="str">
        <x:v>KO 차단</x:v>
      </x:c>
      <x:c r="E15" s="16" t="n">
        <x:f>COUNTIFS('TC'!$H$6:$H$133,"KO·EN",'TC'!$D$6:$D$133,"차단")</x:f>
        <x:v>0</x:v>
      </x:c>
      <x:c r="F15" s="3"/>
      <x:c r="G15" s="3"/>
      <x:c r="H15" s="3"/>
    </x:row>
    <x:row r="16" ht="22.5" customHeight="1">
      <x:c r="A16" s="3"/>
      <x:c r="B16" s="3"/>
      <x:c r="C16" s="3"/>
      <x:c r="D16" s="3" t="str">
        <x:v>EN 차단</x:v>
      </x:c>
      <x:c r="E16" s="16" t="n">
        <x:f>COUNTIFS('TC'!$E$6:$E$133,"차단")</x:f>
        <x:v>0</x:v>
      </x:c>
      <x:c r="F16" s="3"/>
      <x:c r="G16" s="3"/>
      <x:c r="H16" s="3"/>
    </x:row>
    <x:row r="17" ht="22.5" customHeight="1">
      <x:c r="A17" s="3"/>
      <x:c r="B17" s="3"/>
      <x:c r="C17" s="3"/>
      <x:c r="D17" s="3" t="str">
        <x:v>KO 미대상 제외</x:v>
      </x:c>
      <x:c r="E17" s="16" t="n">
        <x:f>COUNTIFS('TC'!$D$6:$D$133,"N/A",'TC'!$H$6:$H$133,"KO·EN")</x:f>
        <x:v>0</x:v>
      </x:c>
      <x:c r="F17" s="3"/>
      <x:c r="G17" s="3"/>
      <x:c r="H17" s="3"/>
    </x:row>
    <x:row r="18" ht="34.5" customHeight="1">
      <x:c r="A18" s="10" t="str">
        <x:v>실행 안내</x:v>
      </x:c>
      <x:c r="B18" s="10" t="str">
        <x:v>기준</x:v>
      </x:c>
      <x:c r="C18" s="3"/>
      <x:c r="D18" s="3" t="str">
        <x:v>EN N/A</x:v>
      </x:c>
      <x:c r="E18" s="16" t="n">
        <x:f>COUNTIFS('TC'!$E$6:$E$133,"N/A")</x:f>
        <x:v>0</x:v>
      </x:c>
      <x:c r="F18" s="3"/>
      <x:c r="G18" s="3"/>
      <x:c r="H18" s="3"/>
    </x:row>
    <x:row r="19" ht="52.5" customHeight="1">
      <x:c r="A19" s="3" t="str">
        <x:v>언어 상태</x:v>
      </x:c>
      <x:c r="B19" s="3" t="str">
        <x:v>현재 빌드는 KO만 지원. EN 열은 영문 리소스·언어 선택 적용 후 검사한다. 영문 전용은 영문 지원 빌드의 언어 기능 검사이며 한국어 초기·언어 전환도 절차대로 확인한다.</x:v>
      </x:c>
      <x:c r="C19" s="3"/>
      <x:c r="D19" s="3"/>
      <x:c r="E19" s="3"/>
      <x:c r="F19" s="3"/>
      <x:c r="G19" s="3"/>
      <x:c r="H19" s="3"/>
    </x:row>
    <x:row r="20" ht="52.5" customHeight="1">
      <x:c r="A20" s="3" t="str">
        <x:v>실행 결과</x:v>
      </x:c>
      <x:c r="B20" s="3" t="str">
        <x:v>기능 76·문구 26·영문 전용 26건. KO 102회·EN 128회가 대상이다. 새 회차는 모두 미실행. 영문 전용의 KO N/A 26건은 언어 미대상이다.</x:v>
      </x:c>
      <x:c r="C20" s="3"/>
      <x:c r="D20" s="3"/>
      <x:c r="E20" s="3"/>
      <x:c r="F20" s="3"/>
      <x:c r="G20" s="3"/>
      <x:c r="H20" s="3"/>
    </x:row>
    <x:row r="21" ht="52.5" customHeight="1">
      <x:c r="A21" s="3" t="str">
        <x:v>실행 순서</x:v>
      </x:c>
      <x:c r="B21" s="3" t="str">
        <x:v>빌드·기기 입력 후 P0부터 실행. 기능은 TC-001~076, 문구는 TXT-001~026, 영문은 EN-001~026. 영문 빌드에서는 기능·문구도 다시 실행한다.</x:v>
      </x:c>
      <x:c r="C21" s="3"/>
      <x:c r="D21" s="3"/>
      <x:c r="E21" s="3"/>
      <x:c r="F21" s="3"/>
      <x:c r="G21" s="3"/>
      <x:c r="H21" s="3"/>
    </x:row>
    <x:row r="22" ht="52.5" customHeight="1">
      <x:c r="A22" s="3" t="str">
        <x:v>결과 입력</x:v>
      </x:c>
      <x:c r="B22" s="3" t="str">
        <x:v>D=KO·E=EN 결과를 독립 기록. 노란 칸은 결과·실제 내용·담당자·시간·증거 입력. 차단/N/A는 해당 언어 실제 결과에 이유를 필수 기록.</x:v>
      </x:c>
      <x:c r="C22" s="3"/>
      <x:c r="D22" s="3"/>
      <x:c r="E22" s="3"/>
      <x:c r="F22" s="3"/>
      <x:c r="G22" s="3"/>
      <x:c r="H22" s="3"/>
    </x:row>
    <x:row r="23" ht="52.5" customHeight="1">
      <x:c r="A23" s="3" t="str">
        <x:v>문구 대조</x:v>
      </x:c>
      <x:c r="B23" s="3" t="str">
        <x:v>문구기준의 KO 현재/EN 초안을 비교한다. 영문 실행에서는 한국어로 적은 절차의 대응 영어 버튼을 사용한다. EN 확정 후 초안과 기대값을 함께 갱신한다.</x:v>
      </x:c>
      <x:c r="C23" s="3"/>
      <x:c r="D23" s="3"/>
      <x:c r="E23" s="3"/>
      <x:c r="F23" s="3"/>
      <x:c r="G23" s="3"/>
      <x:c r="H23" s="3"/>
    </x:row>
    <x:row r="24" ht="52.5" customHeight="1">
      <x:c r="A24" s="3" t="str">
        <x:v>결함 심각도</x:v>
      </x:c>
      <x:c r="B24" s="3" t="str">
        <x:v>S0: 개인정보 노출·데이터 유실. S1: 핵심 로그인·저장·기록·공개 범위 기능 불가. S2: 기타 영향. 한 행의 결함 ID는 언어별로 기록하고 미해결 최고 심각도를 입력.</x:v>
      </x:c>
      <x:c r="C24" s="3"/>
      <x:c r="D24" s="3"/>
      <x:c r="E24" s="3"/>
      <x:c r="F24" s="3"/>
      <x:c r="G24" s="3"/>
      <x:c r="H24" s="3"/>
    </x:row>
    <x:row r="25" ht="52.5" customHeight="1">
      <x:c r="A25" s="3" t="str">
        <x:v>완료 판단</x:v>
      </x:c>
      <x:c r="B25" s="3" t="str">
        <x:v>각 언어 P0 모두 통과, P1 실행 결과 기록, 미해결 S0·S1 없음. 차단·N/A는 사유를 검토한다. 우측 값은 P0 현황이며 스토어 공개 승인을 의미하지 않는다.</x:v>
      </x:c>
      <x:c r="C25" s="3"/>
      <x:c r="D25" s="3"/>
      <x:c r="E25" s="3"/>
      <x:c r="F25" s="3"/>
      <x:c r="G25" s="3"/>
      <x:c r="H25" s="3"/>
    </x:row>
    <x:row r="26" ht="52.5" customHeight="1">
      <x:c r="A26" s="3" t="str">
        <x:v>실기기 범위</x:v>
      </x:c>
      <x:c r="B26" s="3" t="str">
        <x:v>카메라·OS 공유·권한·시작 화면은 APK 실기기 검사. iOS는 배포 확보 후 별도 기기 참조를 기록. 웹 통과를 Android/iOS 통과로 복사하지 않는다.</x:v>
      </x:c>
      <x:c r="C26" s="3"/>
      <x:c r="D26" s="3"/>
      <x:c r="E26" s="3"/>
      <x:c r="F26" s="3"/>
      <x:c r="G26" s="3"/>
      <x:c r="H26" s="3"/>
    </x:row>
    <x:row r="27" ht="52.5" customHeight="1">
      <x:c r="A27" s="3" t="str">
        <x:v>이미지·영수증</x:v>
      </x:c>
      <x:c r="B27" s="3" t="str">
        <x:v>TD-02는 제공된 실제 영수증, TD-08·09는 준비할 가상 fixture다. 인식 후보는 원본과 대조하고 오독은 항목별 기록. 비밀번호·개인정보·토큰은 증거에서 가린다.</x:v>
      </x:c>
      <x:c r="C27" s="3"/>
      <x:c r="D27" s="3"/>
      <x:c r="E27" s="3"/>
      <x:c r="F27" s="3"/>
      <x:c r="G27" s="3"/>
      <x:c r="H27" s="3"/>
    </x:row>
    <x:row r="28" ht="48" customHeight="1">
      <x:c r="A28" s="3" t="str">
        <x:v>이전 자동검사</x:v>
      </x:c>
      <x:c r="B28" s="3" t="str">
        <x:v>기준 소스에서 웹 흐름 16·인증 16 검증 완료. 이번 파일의 KO/EN 실기기 결과를 대신하지 않는다.</x:v>
      </x:c>
      <x:c r="C28" s="3"/>
      <x:c r="D28" s="3"/>
      <x:c r="E28" s="3"/>
      <x:c r="F28" s="3"/>
      <x:c r="G28" s="3"/>
      <x:c r="H28" s="3"/>
    </x:row>
    <x:row r="29" ht="52.5" customHeight="1">
      <x:c r="A29" s="3" t="str">
        <x:v>작성 근거</x:v>
      </x:c>
      <x:c r="B29" s="3" t="str">
        <x:v>기존 62개 기능 TC, 현재 실제 UI 39개 화면, 사용자 문구 정리 릴리즈, 영수증 실제 스캔 흐름을 대조했다. 영문 문구·언어 기본안은 이번 QA 기준 초안.</x:v>
      </x:c>
      <x:c r="C29" s="3"/>
      <x:c r="D29" s="3"/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>
      <x:c r="A32" s="3"/>
      <x:c r="B32" s="3"/>
      <x:c r="C32" s="3"/>
      <x:c r="D32" s="3"/>
      <x:c r="E32" s="3"/>
      <x:c r="F32" s="3"/>
      <x:c r="G32" s="3"/>
      <x:c r="H32" s="3"/>
    </x:row>
    <x:row r="33" ht="34.5" customHeight="1">
      <x:c r="A33" s="3"/>
      <x:c r="B33" s="3"/>
      <x:c r="C33" s="3"/>
      <x:c r="D33" s="10" t="str">
        <x:v>언어</x:v>
      </x:c>
      <x:c r="E33" s="10" t="str">
        <x:v>P0 대상</x:v>
      </x:c>
      <x:c r="F33" s="10" t="str">
        <x:v>P0 통과</x:v>
      </x:c>
      <x:c r="G33" s="10" t="str">
        <x:v>S0·S1 실패</x:v>
      </x:c>
      <x:c r="H33" s="10" t="str">
        <x:v>P0 현황</x:v>
      </x:c>
    </x:row>
    <x:row r="34" ht="39" customHeight="1">
      <x:c r="A34" s="3"/>
      <x:c r="B34" s="3"/>
      <x:c r="C34" s="3"/>
      <x:c r="D34" s="3" t="str">
        <x:v>KO</x:v>
      </x:c>
      <x:c r="E34" s="16" t="n">
        <x:f>COUNTIFS('TC'!$H$6:$H$133,"KO·EN",'TC'!$B$6:$B$133,"P0")</x:f>
        <x:v>46</x:v>
      </x:c>
      <x:c r="F34" s="16" t="n">
        <x:f>COUNTIFS('TC'!$H$6:$H$133,"KO·EN",'TC'!$B$6:$B$133,"P0",'TC'!$D$6:$D$133,"통과")</x:f>
        <x:v>0</x:v>
      </x:c>
      <x:c r="G34" s="16" t="n">
        <x:f>COUNTIFS('TC'!$H$6:$H$133,"KO·EN",'TC'!$D$6:$D$133,"실패",'TC'!$U$6:$U$133,"S0")+COUNTIFS('TC'!$H$6:$H$133,"KO·EN",'TC'!$D$6:$D$133,"실패",'TC'!$U$6:$U$133,"S1")</x:f>
        <x:v>0</x:v>
      </x:c>
      <x:c r="H34" s="17" t="str">
        <x:f>IF(OR($B$11="",$B$12=""),"APK 빌드 입력",IF(G34&gt;0,"결함 확인",IF(F34&lt;E34,"P0 미완료","P0 통과")))</x:f>
        <x:v>APK 빌드 입력</x:v>
      </x:c>
    </x:row>
    <x:row r="35" ht="39" customHeight="1">
      <x:c r="A35" s="3"/>
      <x:c r="B35" s="3"/>
      <x:c r="C35" s="3"/>
      <x:c r="D35" s="3" t="str">
        <x:v>EN</x:v>
      </x:c>
      <x:c r="E35" s="16" t="n">
        <x:f>COUNTIFS('TC'!$B$6:$B$133,"P0")</x:f>
        <x:v>62</x:v>
      </x:c>
      <x:c r="F35" s="16" t="n">
        <x:f>COUNTIFS('TC'!$B$6:$B$133,"P0",'TC'!$E$6:$E$133,"통과")</x:f>
        <x:v>0</x:v>
      </x:c>
      <x:c r="G35" s="16" t="n">
        <x:f>COUNTIFS('TC'!$E$6:$E$133,"실패",'TC'!$U$6:$U$133,"S0")+COUNTIFS('TC'!$E$6:$E$133,"실패",'TC'!$U$6:$U$133,"S1")</x:f>
        <x:v>0</x:v>
      </x:c>
      <x:c r="H35" s="17" t="str">
        <x:f>IF($B$9&lt;&gt;"KO·EN","영문 빌드 필요",IF(OR($B$11="",$B$12=""),"APK 빌드 입력",IF(G35&gt;0,"결함 확인",IF(F35&lt;E35,"P0 미완료","P0 통과"))))</x:f>
        <x:v>영문 빌드 필요</x:v>
      </x:c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</x:sheetData>
  <x:dataValidations count="1">
    <x:dataValidation type="list" sqref="B9">
      <x:formula1>"KO만,KO·EN"</x:formula1>
    </x:dataValidation>
  </x:dataValidations>
  <x:pageMargins left="0.7" right="0.7" top="0.75" bottom="0.75" header="0.3" footer="0.3"/>
  <x:drawing xmlns:r="http://schemas.openxmlformats.org/officeDocument/2006/relationships" r:id="Rd134d692a0944a69"/>
</x:worksheet>
</file>

<file path=xl/worksheets/sheet2.xml><?xml version="1.0" encoding="utf-8"?>
<x:worksheet xmlns:x="http://schemas.openxmlformats.org/spreadsheetml/2006/main">
  <x:sheetPr>
    <x:tabColor rgb="FFC8443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.130000114440918" hidden="0" customWidth="1"/>
    <x:col min="2" max="2" width="8" hidden="0" customWidth="1"/>
    <x:col min="3" max="3" width="9.25" hidden="0" customWidth="1"/>
    <x:col min="4" max="4" width="10.25" hidden="0" customWidth="1"/>
    <x:col min="5" max="5" width="10.25" hidden="0" customWidth="1"/>
    <x:col min="6" max="6" width="13.75" hidden="0" customWidth="1"/>
    <x:col min="7" max="7" width="33.75" hidden="0" customWidth="1"/>
    <x:col min="8" max="8" width="9.380000114440918" hidden="0" customWidth="1"/>
    <x:col min="9" max="9" width="17.5" hidden="0" customWidth="1"/>
    <x:col min="10" max="10" width="43.75" hidden="0" customWidth="1"/>
    <x:col min="11" max="11" width="55" hidden="0" customWidth="1"/>
    <x:col min="12" max="12" width="60" hidden="0" customWidth="1"/>
    <x:col min="13" max="13" width="21.25" hidden="0" customWidth="1"/>
    <x:col min="14" max="14" width="43.75" hidden="0" customWidth="1"/>
    <x:col min="15" max="15" width="43.75" hidden="0" customWidth="1"/>
    <x:col min="16" max="16" width="13.75" hidden="0" customWidth="1"/>
    <x:col min="17" max="17" width="17.5" hidden="0" customWidth="1"/>
    <x:col min="18" max="18" width="17.5" hidden="0" customWidth="1"/>
    <x:col min="19" max="19" width="26.25" hidden="0" customWidth="1"/>
    <x:col min="20" max="20" width="31.25" hidden="0" customWidth="1"/>
    <x:col min="21" max="21" width="12.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5.5" customHeight="1">
      <x:c r="A2" s="18" t="str">
        <x:v>TripPrint 테스트 케이스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>
      <x:c r="A4" s="6" t="str">
        <x:v>KO·EN 결과는 독립적으로 기록합니다. EN은 언어 기능 적용 후 실행하며, 한국어 통과 결과를 복사하지 않습니다.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34.5" customHeight="1">
      <x:c r="A5" s="10" t="str">
        <x:v>TC ID</x:v>
      </x:c>
      <x:c r="B5" s="10" t="str">
        <x:v>우선순위</x:v>
      </x:c>
      <x:c r="C5" s="10" t="str">
        <x:v>검증 종류</x:v>
      </x:c>
      <x:c r="D5" s="10" t="str">
        <x:v>KO 결과</x:v>
      </x:c>
      <x:c r="E5" s="10" t="str">
        <x:v>EN 결과</x:v>
      </x:c>
      <x:c r="F5" s="10" t="str">
        <x:v>화면·기능</x:v>
      </x:c>
      <x:c r="G5" s="10" t="str">
        <x:v>시나리오</x:v>
      </x:c>
      <x:c r="H5" s="10" t="str">
        <x:v>언어 범위</x:v>
      </x:c>
      <x:c r="I5" s="10" t="str">
        <x:v>실행 환경</x:v>
      </x:c>
      <x:c r="J5" s="10" t="str">
        <x:v>사전 조건·데이터</x:v>
      </x:c>
      <x:c r="K5" s="10" t="str">
        <x:v>실행 절차</x:v>
      </x:c>
      <x:c r="L5" s="10" t="str">
        <x:v>기대 결과</x:v>
      </x:c>
      <x:c r="M5" s="10" t="str">
        <x:v>문구 기준 ID</x:v>
      </x:c>
      <x:c r="N5" s="10" t="str">
        <x:v>KO 실제 결과</x:v>
      </x:c>
      <x:c r="O5" s="10" t="str">
        <x:v>EN 실제 결과</x:v>
      </x:c>
      <x:c r="P5" s="10" t="str">
        <x:v>담당자</x:v>
      </x:c>
      <x:c r="Q5" s="10" t="str">
        <x:v>KO 실행 일시 KST</x:v>
      </x:c>
      <x:c r="R5" s="10" t="str">
        <x:v>EN 실행 일시 KST</x:v>
      </x:c>
      <x:c r="S5" s="10" t="str">
        <x:v>빌드·기기 참조</x:v>
      </x:c>
      <x:c r="T5" s="10" t="str">
        <x:v>증거·결함 ID</x:v>
      </x:c>
      <x:c r="U5" s="10" t="str">
        <x:v>결함 심각도</x:v>
      </x:c>
    </x:row>
    <x:row r="6" ht="72" customHeight="1">
      <x:c r="A6" s="3" t="str">
        <x:v>TC-001</x:v>
      </x:c>
      <x:c r="B6" s="3" t="str">
        <x:v>P0</x:v>
      </x:c>
      <x:c r="C6" s="3" t="str">
        <x:v>기능</x:v>
      </x:c>
      <x:c r="D6" s="11" t="str">
        <x:v>미실행</x:v>
      </x:c>
      <x:c r="E6" s="11" t="str">
        <x:v>미실행</x:v>
      </x:c>
      <x:c r="F6" s="3" t="str">
        <x:v>설치</x:v>
      </x:c>
      <x:c r="G6" s="3" t="str">
        <x:v>내부 배포 APK 설치</x:v>
      </x:c>
      <x:c r="H6" s="3" t="str">
        <x:v>KO·EN</x:v>
      </x:c>
      <x:c r="I6" s="3" t="str">
        <x:v>Android APK</x:v>
      </x:c>
      <x:c r="J6" s="3" t="str">
        <x:v>Expo preview 빌드 완료 URL 및 호환 Android 기기
preview APK. URL·Build ID·versionCode 기록</x:v>
      </x:c>
      <x:c r="K6" s="3" t="str">
        <x:v>1. 완료 빌드에서 APK 다운로드
2. 브라우저 설치 권한 허용 후 설치
3. 홈 화면에서 실행</x:v>
      </x:c>
      <x:c r="L6" s="3" t="str">
        <x:v>TripPrint 이름·아이콘으로 설치되고 앱이 실행된다. Expo 개발 서버를 요구하지 않는다.</x:v>
      </x:c>
      <x:c r="M6" s="3" t="str"/>
      <x:c r="N6" s="11" t="str"/>
      <x:c r="O6" s="11" t="str"/>
      <x:c r="P6" s="11" t="str"/>
      <x:c r="Q6" s="12"/>
      <x:c r="R6" s="12"/>
      <x:c r="S6" s="11" t="str"/>
      <x:c r="T6" s="11" t="str"/>
      <x:c r="U6" s="11" t="str"/>
    </x:row>
    <x:row r="7" ht="72" customHeight="1">
      <x:c r="A7" s="3" t="str">
        <x:v>TC-002</x:v>
      </x:c>
      <x:c r="B7" s="3" t="str">
        <x:v>P0</x:v>
      </x:c>
      <x:c r="C7" s="3" t="str">
        <x:v>기능</x:v>
      </x:c>
      <x:c r="D7" s="11" t="str">
        <x:v>미실행</x:v>
      </x:c>
      <x:c r="E7" s="11" t="str">
        <x:v>미실행</x:v>
      </x:c>
      <x:c r="F7" s="3" t="str">
        <x:v>시작</x:v>
      </x:c>
      <x:c r="G7" s="3" t="str">
        <x:v>첫 실행의 브랜드와 여행 시작</x:v>
      </x:c>
      <x:c r="H7" s="3" t="str">
        <x:v>KO·EN</x:v>
      </x:c>
      <x:c r="I7" s="3" t="str">
        <x:v>Android APK</x:v>
      </x:c>
      <x:c r="J7" s="3" t="str">
        <x:v>TC-001. 앱 저장 데이터를 초기화한 테스트 기기</x:v>
      </x:c>
      <x:c r="K7" s="3" t="str">
        <x:v>1. 신규 설치 후 실행
2. 시작 화면과 첫 방문 홈 확인
3. 목적지 선택 후 새 여행 시작</x:v>
      </x:c>
      <x:c r="L7" s="3" t="str">
        <x:v>TripPrint 이름·아이콘·시작 이미지가 보인다. 로그인 전에도 목적지와 여행 시작 행동이 보인다. 저장 단계에서 로그인으로 이어지며 빈 화면·무한 로딩이 없다.</x:v>
      </x:c>
      <x:c r="M7" s="3" t="str">
        <x:v>HOME.START,AUTH.CONTINUE</x:v>
      </x:c>
      <x:c r="N7" s="11" t="str"/>
      <x:c r="O7" s="11" t="str"/>
      <x:c r="P7" s="11" t="str"/>
      <x:c r="Q7" s="12"/>
      <x:c r="R7" s="12"/>
      <x:c r="S7" s="11" t="str"/>
      <x:c r="T7" s="11" t="str"/>
      <x:c r="U7" s="11" t="str"/>
    </x:row>
    <x:row r="8" ht="72" customHeight="1">
      <x:c r="A8" s="3" t="str">
        <x:v>TC-003</x:v>
      </x:c>
      <x:c r="B8" s="3" t="str">
        <x:v>P1</x:v>
      </x:c>
      <x:c r="C8" s="3" t="str">
        <x:v>기능</x:v>
      </x:c>
      <x:c r="D8" s="11" t="str">
        <x:v>미실행</x:v>
      </x:c>
      <x:c r="E8" s="11" t="str">
        <x:v>미실행</x:v>
      </x:c>
      <x:c r="F8" s="3" t="str">
        <x:v>설치</x:v>
      </x:c>
      <x:c r="G8" s="3" t="str">
        <x:v>동일 서명 새 APK 업데이트</x:v>
      </x:c>
      <x:c r="H8" s="3" t="str">
        <x:v>KO·EN</x:v>
      </x:c>
      <x:c r="I8" s="3" t="str">
        <x:v>Android APK</x:v>
      </x:c>
      <x:c r="J8" s="3" t="str">
        <x:v>이전 테스트 APK 설치. 계정 A 로그인 및 저장 여행
기존/신규 Build ID 및 versionCode</x:v>
      </x:c>
      <x:c r="K8" s="3" t="str">
        <x:v>1. 동일 package·서명의 높은 versionCode APK 설치
2. 로그인과 기존 여행 재조회</x:v>
      </x:c>
      <x:c r="L8" s="3" t="str">
        <x:v>업데이트 설치가 가능하고 기존 서버 여행이 유지된다. 서명이 달라 설치 불가하면 빌드 조건으로 차단 기록한다.</x:v>
      </x:c>
      <x:c r="M8" s="3" t="str"/>
      <x:c r="N8" s="11" t="str"/>
      <x:c r="O8" s="11" t="str"/>
      <x:c r="P8" s="11" t="str"/>
      <x:c r="Q8" s="12"/>
      <x:c r="R8" s="12"/>
      <x:c r="S8" s="11" t="str"/>
      <x:c r="T8" s="11" t="str"/>
      <x:c r="U8" s="11" t="str"/>
    </x:row>
    <x:row r="9" ht="72" customHeight="1">
      <x:c r="A9" s="3" t="str">
        <x:v>TC-004</x:v>
      </x:c>
      <x:c r="B9" s="3" t="str">
        <x:v>P1</x:v>
      </x:c>
      <x:c r="C9" s="3" t="str">
        <x:v>기능</x:v>
      </x:c>
      <x:c r="D9" s="11" t="str">
        <x:v>미실행</x:v>
      </x:c>
      <x:c r="E9" s="11" t="str">
        <x:v>미실행</x:v>
      </x:c>
      <x:c r="F9" s="3" t="str">
        <x:v>시작</x:v>
      </x:c>
      <x:c r="G9" s="3" t="str">
        <x:v>백그라운드와 강제 종료 복귀</x:v>
      </x:c>
      <x:c r="H9" s="3" t="str">
        <x:v>KO·EN</x:v>
      </x:c>
      <x:c r="I9" s="3" t="str">
        <x:v>Android APK</x:v>
      </x:c>
      <x:c r="J9" s="3" t="str">
        <x:v>계정 A 로그인. 저장 여행 있음</x:v>
      </x:c>
      <x:c r="K9" s="3" t="str">
        <x:v>1. 홈 화면 이동 후 앱 복귀
2. 최근 앱에서 종료 후 다시 실행
3. 동일 여행 재조회</x:v>
      </x:c>
      <x:c r="L9" s="3" t="str">
        <x:v>로그인과 저장된 여행이 복원되며 같은 일정·사진이 중복 생성되지 않는다.</x:v>
      </x:c>
      <x:c r="M9" s="3" t="str"/>
      <x:c r="N9" s="11" t="str"/>
      <x:c r="O9" s="11" t="str"/>
      <x:c r="P9" s="11" t="str"/>
      <x:c r="Q9" s="12"/>
      <x:c r="R9" s="12"/>
      <x:c r="S9" s="11" t="str"/>
      <x:c r="T9" s="11" t="str"/>
      <x:c r="U9" s="11" t="str"/>
    </x:row>
    <x:row r="10" ht="72" customHeight="1">
      <x:c r="A10" s="3" t="str">
        <x:v>TC-005</x:v>
      </x:c>
      <x:c r="B10" s="3" t="str">
        <x:v>P0</x:v>
      </x:c>
      <x:c r="C10" s="3" t="str">
        <x:v>기능</x:v>
      </x:c>
      <x:c r="D10" s="11" t="str">
        <x:v>미실행</x:v>
      </x:c>
      <x:c r="E10" s="11" t="str">
        <x:v>미실행</x:v>
      </x:c>
      <x:c r="F10" s="3" t="str">
        <x:v>인증</x:v>
      </x:c>
      <x:c r="G10" s="3" t="str">
        <x:v>이메일 가입과 로그인</x:v>
      </x:c>
      <x:c r="H10" s="3" t="str">
        <x:v>KO·EN</x:v>
      </x:c>
      <x:c r="I10" s="3" t="str">
        <x:v>Android APK</x:v>
      </x:c>
      <x:c r="J10" s="3" t="str">
        <x:v>새 테스트 이메일 A. 네트워크 정상
A 이메일은 테스터 준비. 비밀번호는 문서에 쓰지 않음</x:v>
      </x:c>
      <x:c r="K10" s="3" t="str">
        <x:v>1. 이메일로 계속하기에서 회원가입
2. 닉네임·이메일·8자 이상 비밀번호·확인 입력
3. 가입 완료 후 필요한 로그인 절차 수행</x:v>
      </x:c>
      <x:c r="L10" s="3" t="str">
        <x:v>실제 이메일 계정으로 내 여행에 진입한다. 실패 응답을 성공으로 표시하지 않는다.</x:v>
      </x:c>
      <x:c r="M10" s="3" t="str"/>
      <x:c r="N10" s="11" t="str"/>
      <x:c r="O10" s="11" t="str"/>
      <x:c r="P10" s="11" t="str"/>
      <x:c r="Q10" s="12"/>
      <x:c r="R10" s="12"/>
      <x:c r="S10" s="11" t="str"/>
      <x:c r="T10" s="11" t="str"/>
      <x:c r="U10" s="11" t="str"/>
    </x:row>
    <x:row r="11" ht="72" customHeight="1">
      <x:c r="A11" s="3" t="str">
        <x:v>TC-006</x:v>
      </x:c>
      <x:c r="B11" s="3" t="str">
        <x:v>P1</x:v>
      </x:c>
      <x:c r="C11" s="3" t="str">
        <x:v>기능</x:v>
      </x:c>
      <x:c r="D11" s="11" t="str">
        <x:v>미실행</x:v>
      </x:c>
      <x:c r="E11" s="11" t="str">
        <x:v>미실행</x:v>
      </x:c>
      <x:c r="F11" s="3" t="str">
        <x:v>인증</x:v>
      </x:c>
      <x:c r="G11" s="3" t="str">
        <x:v>가입 입력 검증</x:v>
      </x:c>
      <x:c r="H11" s="3" t="str">
        <x:v>KO·EN</x:v>
      </x:c>
      <x:c r="I11" s="3" t="str">
        <x:v>Android APK</x:v>
      </x:c>
      <x:c r="J11" s="3" t="str">
        <x:v>가입 화면</x:v>
      </x:c>
      <x:c r="K11" s="3" t="str">
        <x:v>1. 잘못된 이메일과 빈 닉네임 입력
2. 7자 비밀번호와 다른 확인 비밀번호 입력
3. 제출 후 정상 값으로 수정</x:v>
      </x:c>
      <x:c r="L11" s="3" t="str">
        <x:v>오류를 안내하고 잘못된 입력으로 계정을 만들지 않는다. 정상 수정 후 다시 제출할 수 있다.</x:v>
      </x:c>
      <x:c r="M11" s="3" t="str"/>
      <x:c r="N11" s="11" t="str"/>
      <x:c r="O11" s="11" t="str"/>
      <x:c r="P11" s="11" t="str"/>
      <x:c r="Q11" s="12"/>
      <x:c r="R11" s="12"/>
      <x:c r="S11" s="11" t="str"/>
      <x:c r="T11" s="11" t="str"/>
      <x:c r="U11" s="11" t="str"/>
    </x:row>
    <x:row r="12" ht="72" customHeight="1">
      <x:c r="A12" s="3" t="str">
        <x:v>TC-007</x:v>
      </x:c>
      <x:c r="B12" s="3" t="str">
        <x:v>P1</x:v>
      </x:c>
      <x:c r="C12" s="3" t="str">
        <x:v>기능</x:v>
      </x:c>
      <x:c r="D12" s="11" t="str">
        <x:v>미실행</x:v>
      </x:c>
      <x:c r="E12" s="11" t="str">
        <x:v>미실행</x:v>
      </x:c>
      <x:c r="F12" s="3" t="str">
        <x:v>인증</x:v>
      </x:c>
      <x:c r="G12" s="3" t="str">
        <x:v>중복 이메일 가입</x:v>
      </x:c>
      <x:c r="H12" s="3" t="str">
        <x:v>KO·EN</x:v>
      </x:c>
      <x:c r="I12" s="3" t="str">
        <x:v>Android APK</x:v>
      </x:c>
      <x:c r="J12" s="3" t="str">
        <x:v>TC-005에서 가입한 A 이메일</x:v>
      </x:c>
      <x:c r="K12" s="3" t="str">
        <x:v>1. 같은 이메일로 다시 가입 시도
2. 기존 계정으로 로그인</x:v>
      </x:c>
      <x:c r="L12" s="3" t="str">
        <x:v>중복 계정 생성 없이 오류를 안내하며 기존 계정 로그인은 유지된다.</x:v>
      </x:c>
      <x:c r="M12" s="3" t="str"/>
      <x:c r="N12" s="11" t="str"/>
      <x:c r="O12" s="11" t="str"/>
      <x:c r="P12" s="11" t="str"/>
      <x:c r="Q12" s="12"/>
      <x:c r="R12" s="12"/>
      <x:c r="S12" s="11" t="str"/>
      <x:c r="T12" s="11" t="str"/>
      <x:c r="U12" s="11" t="str"/>
    </x:row>
    <x:row r="13" ht="72" customHeight="1">
      <x:c r="A13" s="3" t="str">
        <x:v>TC-008</x:v>
      </x:c>
      <x:c r="B13" s="3" t="str">
        <x:v>P0</x:v>
      </x:c>
      <x:c r="C13" s="3" t="str">
        <x:v>기능</x:v>
      </x:c>
      <x:c r="D13" s="11" t="str">
        <x:v>미실행</x:v>
      </x:c>
      <x:c r="E13" s="11" t="str">
        <x:v>미실행</x:v>
      </x:c>
      <x:c r="F13" s="3" t="str">
        <x:v>인증</x:v>
      </x:c>
      <x:c r="G13" s="3" t="str">
        <x:v>로그인 실패와 재시도</x:v>
      </x:c>
      <x:c r="H13" s="3" t="str">
        <x:v>KO·EN</x:v>
      </x:c>
      <x:c r="I13" s="3" t="str">
        <x:v>Android APK</x:v>
      </x:c>
      <x:c r="J13" s="3" t="str">
        <x:v>A 계정 생성 및 로그아웃</x:v>
      </x:c>
      <x:c r="K13" s="3" t="str">
        <x:v>1. 틀린 비밀번호로 로그인
2. 같은 이메일에 올바른 비밀번호 입력
3. 로그인 버튼 한 번 선택</x:v>
      </x:c>
      <x:c r="L13" s="3" t="str">
        <x:v>실패 시 내 여행으로 이동하지 않는다. 이메일 입력이 유지되며 올바른 비밀번호로만 로그인한다.</x:v>
      </x:c>
      <x:c r="M13" s="3" t="str"/>
      <x:c r="N13" s="11" t="str"/>
      <x:c r="O13" s="11" t="str"/>
      <x:c r="P13" s="11" t="str"/>
      <x:c r="Q13" s="12"/>
      <x:c r="R13" s="12"/>
      <x:c r="S13" s="11" t="str"/>
      <x:c r="T13" s="11" t="str"/>
      <x:c r="U13" s="11" t="str"/>
    </x:row>
    <x:row r="14" ht="72" customHeight="1">
      <x:c r="A14" s="3" t="str">
        <x:v>TC-009</x:v>
      </x:c>
      <x:c r="B14" s="3" t="str">
        <x:v>P0</x:v>
      </x:c>
      <x:c r="C14" s="3" t="str">
        <x:v>기능</x:v>
      </x:c>
      <x:c r="D14" s="11" t="str">
        <x:v>미실행</x:v>
      </x:c>
      <x:c r="E14" s="11" t="str">
        <x:v>미실행</x:v>
      </x:c>
      <x:c r="F14" s="3" t="str">
        <x:v>인증</x:v>
      </x:c>
      <x:c r="G14" s="3" t="str">
        <x:v>로그아웃 후 보호 화면</x:v>
      </x:c>
      <x:c r="H14" s="3" t="str">
        <x:v>KO·EN</x:v>
      </x:c>
      <x:c r="I14" s="3" t="str">
        <x:v>Android APK</x:v>
      </x:c>
      <x:c r="J14" s="3" t="str">
        <x:v>A 로그인. 비공개 여행 저장</x:v>
      </x:c>
      <x:c r="K14" s="3" t="str">
        <x:v>1. 내 정보에서 로그아웃
2. 내 여행·발자국 이동
3. 앱 종료 후 재실행</x:v>
      </x:c>
      <x:c r="L14" s="3" t="str">
        <x:v>이전 계정의 비공개 여행·사진이 보이지 않는다. 서버 기능은 재로그인을 요구한다.</x:v>
      </x:c>
      <x:c r="M14" s="3" t="str"/>
      <x:c r="N14" s="11" t="str"/>
      <x:c r="O14" s="11" t="str"/>
      <x:c r="P14" s="11" t="str"/>
      <x:c r="Q14" s="12"/>
      <x:c r="R14" s="12"/>
      <x:c r="S14" s="11" t="str"/>
      <x:c r="T14" s="11" t="str"/>
      <x:c r="U14" s="11" t="str"/>
    </x:row>
    <x:row r="15" ht="72" customHeight="1">
      <x:c r="A15" s="3" t="str">
        <x:v>TC-010</x:v>
      </x:c>
      <x:c r="B15" s="3" t="str">
        <x:v>P0</x:v>
      </x:c>
      <x:c r="C15" s="3" t="str">
        <x:v>기능</x:v>
      </x:c>
      <x:c r="D15" s="11" t="str">
        <x:v>미실행</x:v>
      </x:c>
      <x:c r="E15" s="11" t="str">
        <x:v>미실행</x:v>
      </x:c>
      <x:c r="F15" s="3" t="str">
        <x:v>인증</x:v>
      </x:c>
      <x:c r="G15" s="3" t="str">
        <x:v>A에서 B로 계정 전환</x:v>
      </x:c>
      <x:c r="H15" s="3" t="str">
        <x:v>KO·EN</x:v>
      </x:c>
      <x:c r="I15" s="3" t="str">
        <x:v>Android APK</x:v>
      </x:c>
      <x:c r="J15" s="3" t="str">
        <x:v>서로 다른 A·B 계정. A 여행에 B 미참여</x:v>
      </x:c>
      <x:c r="K15" s="3" t="str">
        <x:v>1. A로 여행 상세 열기
2. 로그아웃 후 B로 로그인
3. 내 여행과 사진·비용 확인</x:v>
      </x:c>
      <x:c r="L15" s="3" t="str">
        <x:v>A의 여행·작성 중 폼·사진·비용 캐시가 B에게 노출되지 않는다. B의 본인 목록만 표시한다.</x:v>
      </x:c>
      <x:c r="M15" s="3" t="str"/>
      <x:c r="N15" s="11" t="str"/>
      <x:c r="O15" s="11" t="str"/>
      <x:c r="P15" s="11" t="str"/>
      <x:c r="Q15" s="12"/>
      <x:c r="R15" s="12"/>
      <x:c r="S15" s="11" t="str"/>
      <x:c r="T15" s="11" t="str"/>
      <x:c r="U15" s="11" t="str"/>
    </x:row>
    <x:row r="16" ht="72" customHeight="1">
      <x:c r="A16" s="3" t="str">
        <x:v>TC-011</x:v>
      </x:c>
      <x:c r="B16" s="3" t="str">
        <x:v>P1</x:v>
      </x:c>
      <x:c r="C16" s="3" t="str">
        <x:v>기능</x:v>
      </x:c>
      <x:c r="D16" s="11" t="str">
        <x:v>미실행</x:v>
      </x:c>
      <x:c r="E16" s="11" t="str">
        <x:v>미실행</x:v>
      </x:c>
      <x:c r="F16" s="3" t="str">
        <x:v>인증</x:v>
      </x:c>
      <x:c r="G16" s="3" t="str">
        <x:v>게스트 둘러보기</x:v>
      </x:c>
      <x:c r="H16" s="3" t="str">
        <x:v>KO·EN</x:v>
      </x:c>
      <x:c r="I16" s="3" t="str">
        <x:v>Android APK</x:v>
      </x:c>
      <x:c r="J16" s="3" t="str">
        <x:v>로그아웃 상태</x:v>
      </x:c>
      <x:c r="K16" s="3" t="str">
        <x:v>1. 로그인 없이 둘러보기 선택
2. 공개 홈·커뮤니티 탐색
3. 새 여행 저장 또는 초대 참여 시도
4. 종료 후 재실행</x:v>
      </x:c>
      <x:c r="L16" s="3" t="str">
        <x:v>공개 화면을 볼 수 있다. 인증된 회원으로 표시하지 않는다. 여행 저장·초대에는 실제 로그인을 요구하고 회원의 비공개 기록을 노출하지 않는다.</x:v>
      </x:c>
      <x:c r="M16" s="3" t="str">
        <x:v>AUTH.GUEST,AUTH.BENEFIT</x:v>
      </x:c>
      <x:c r="N16" s="11" t="str"/>
      <x:c r="O16" s="11" t="str"/>
      <x:c r="P16" s="11" t="str"/>
      <x:c r="Q16" s="12"/>
      <x:c r="R16" s="12"/>
      <x:c r="S16" s="11" t="str"/>
      <x:c r="T16" s="11" t="str"/>
      <x:c r="U16" s="11" t="str"/>
    </x:row>
    <x:row r="17" ht="72" customHeight="1">
      <x:c r="A17" s="3" t="str">
        <x:v>TC-012</x:v>
      </x:c>
      <x:c r="B17" s="3" t="str">
        <x:v>P0</x:v>
      </x:c>
      <x:c r="C17" s="3" t="str">
        <x:v>기능</x:v>
      </x:c>
      <x:c r="D17" s="11" t="str">
        <x:v>미실행</x:v>
      </x:c>
      <x:c r="E17" s="11" t="str">
        <x:v>미실행</x:v>
      </x:c>
      <x:c r="F17" s="3" t="str">
        <x:v>인증</x:v>
      </x:c>
      <x:c r="G17" s="3" t="str">
        <x:v>실제 제공하는 로그인만 노출</x:v>
      </x:c>
      <x:c r="H17" s="3" t="str">
        <x:v>KO·EN</x:v>
      </x:c>
      <x:c r="I17" s="3" t="str">
        <x:v>Android APK</x:v>
      </x:c>
      <x:c r="J17" s="3" t="str">
        <x:v>로그아웃 상태. 이번 릴리즈는 이메일 가입·로그인을 제공한다.</x:v>
      </x:c>
      <x:c r="K17" s="3" t="str">
        <x:v>1. 로그인 화면의 모든 버튼·안내 확인
2. 이메일로 계속하기 선택
3. 잘못된 로그인 복귀 주소에서 오류 복구</x:v>
      </x:c>
      <x:c r="L17" s="3" t="str">
        <x:v>연결되지 않은 Google·카카오·Apple 로그인 버튼과 준비 문구가 없다. 이메일 폼이 열리고 실제 로그인 실패에서 복귀할 수 있다. 성공 세션을 흉내 내지 않는다.</x:v>
      </x:c>
      <x:c r="M17" s="3" t="str">
        <x:v>AUTH.CONTINUE,AUTH.RECOVERY</x:v>
      </x:c>
      <x:c r="N17" s="11" t="str"/>
      <x:c r="O17" s="11" t="str"/>
      <x:c r="P17" s="11" t="str"/>
      <x:c r="Q17" s="12"/>
      <x:c r="R17" s="12"/>
      <x:c r="S17" s="11" t="str"/>
      <x:c r="T17" s="11" t="str"/>
      <x:c r="U17" s="11" t="str"/>
    </x:row>
    <x:row r="18" ht="72" customHeight="1">
      <x:c r="A18" s="3" t="str">
        <x:v>TC-013</x:v>
      </x:c>
      <x:c r="B18" s="3" t="str">
        <x:v>P0</x:v>
      </x:c>
      <x:c r="C18" s="3" t="str">
        <x:v>기능</x:v>
      </x:c>
      <x:c r="D18" s="11" t="str">
        <x:v>미실행</x:v>
      </x:c>
      <x:c r="E18" s="11" t="str">
        <x:v>미실행</x:v>
      </x:c>
      <x:c r="F18" s="3" t="str">
        <x:v>여행</x:v>
      </x:c>
      <x:c r="G18" s="3" t="str">
        <x:v>제목·기간·항공 등록</x:v>
      </x:c>
      <x:c r="H18" s="3" t="str">
        <x:v>KO·EN</x:v>
      </x:c>
      <x:c r="I18" s="3" t="str">
        <x:v>Android APK</x:v>
      </x:c>
      <x:c r="J18" s="3" t="str">
        <x:v>A 로그인
TEST1_A_도쿄 / 2026-10-01~03 / Asia/Tokyo / KE703 ICN→NRT 10:00</x:v>
      </x:c>
      <x:c r="K18" s="3" t="str">
        <x:v>1. 새 여행 시작하기
2. 제목·일본/도쿄·3일 기간·항공편 입력
3. 저장 후 여행 열기</x:v>
      </x:c>
      <x:c r="L18" s="3" t="str">
        <x:v>제목·날짜·항공편을 저장하고 DAY 1~3이 하나씩 생성된다. 재실행 후 유지된다.</x:v>
      </x:c>
      <x:c r="M18" s="3" t="str"/>
      <x:c r="N18" s="11" t="str"/>
      <x:c r="O18" s="11" t="str"/>
      <x:c r="P18" s="11" t="str"/>
      <x:c r="Q18" s="12"/>
      <x:c r="R18" s="12"/>
      <x:c r="S18" s="11" t="str"/>
      <x:c r="T18" s="11" t="str"/>
      <x:c r="U18" s="11" t="str"/>
    </x:row>
    <x:row r="19" ht="72" customHeight="1">
      <x:c r="A19" s="3" t="str">
        <x:v>TC-014</x:v>
      </x:c>
      <x:c r="B19" s="3" t="str">
        <x:v>P1</x:v>
      </x:c>
      <x:c r="C19" s="3" t="str">
        <x:v>기능</x:v>
      </x:c>
      <x:c r="D19" s="11" t="str">
        <x:v>미실행</x:v>
      </x:c>
      <x:c r="E19" s="11" t="str">
        <x:v>미실행</x:v>
      </x:c>
      <x:c r="F19" s="3" t="str">
        <x:v>여행</x:v>
      </x:c>
      <x:c r="G19" s="3" t="str">
        <x:v>필수 항목과 날짜 경계</x:v>
      </x:c>
      <x:c r="H19" s="3" t="str">
        <x:v>KO·EN</x:v>
      </x:c>
      <x:c r="I19" s="3" t="str">
        <x:v>Android APK</x:v>
      </x:c>
      <x:c r="J19" s="3" t="str">
        <x:v>새 여행 입력 화면</x:v>
      </x:c>
      <x:c r="K19" s="3" t="str">
        <x:v>1. 빈 제목·나라/도시 누락으로 제출
2. 종료일을 시작일 이전으로 선택
3. 정상 기간으로 다시 저장</x:v>
      </x:c>
      <x:c r="L19" s="3" t="str">
        <x:v>필수 항목 누락·역전된 날짜를 거부한다. 달력에서 막으면 차단 동작을 기록한다. 서버에 잘못된 DAY가 생성되지 않는다.</x:v>
      </x:c>
      <x:c r="M19" s="3" t="str"/>
      <x:c r="N19" s="11" t="str"/>
      <x:c r="O19" s="11" t="str"/>
      <x:c r="P19" s="11" t="str"/>
      <x:c r="Q19" s="12"/>
      <x:c r="R19" s="12"/>
      <x:c r="S19" s="11" t="str"/>
      <x:c r="T19" s="11" t="str"/>
      <x:c r="U19" s="11" t="str"/>
    </x:row>
    <x:row r="20" ht="72" customHeight="1">
      <x:c r="A20" s="3" t="str">
        <x:v>TC-015</x:v>
      </x:c>
      <x:c r="B20" s="3" t="str">
        <x:v>P1</x:v>
      </x:c>
      <x:c r="C20" s="3" t="str">
        <x:v>기능</x:v>
      </x:c>
      <x:c r="D20" s="11" t="str">
        <x:v>미실행</x:v>
      </x:c>
      <x:c r="E20" s="11" t="str">
        <x:v>미실행</x:v>
      </x:c>
      <x:c r="F20" s="3" t="str">
        <x:v>여행</x:v>
      </x:c>
      <x:c r="G20" s="3" t="str">
        <x:v>날짜 확장과 기존 기록 보존</x:v>
      </x:c>
      <x:c r="H20" s="3" t="str">
        <x:v>KO·EN</x:v>
      </x:c>
      <x:c r="I20" s="3" t="str">
        <x:v>Android APK</x:v>
      </x:c>
      <x:c r="J20" s="3" t="str">
        <x:v>TC-013. DAY 2에 일정·비용</x:v>
      </x:c>
      <x:c r="K20" s="3" t="str">
        <x:v>1. 여행 기간 변경에서 종료일 하루 확장
2. 날짜별 기존 일정과 비용 재조회</x:v>
      </x:c>
      <x:c r="L20" s="3" t="str">
        <x:v>새 날짜의 DAY가 추가되고 유지되는 날짜의 일정·비용이 원래 날짜와 연결된 상태로 남는다.</x:v>
      </x:c>
      <x:c r="M20" s="3" t="str"/>
      <x:c r="N20" s="11" t="str"/>
      <x:c r="O20" s="11" t="str"/>
      <x:c r="P20" s="11" t="str"/>
      <x:c r="Q20" s="12"/>
      <x:c r="R20" s="12"/>
      <x:c r="S20" s="11" t="str"/>
      <x:c r="T20" s="11" t="str"/>
      <x:c r="U20" s="11" t="str"/>
    </x:row>
    <x:row r="21" ht="72" customHeight="1">
      <x:c r="A21" s="3" t="str">
        <x:v>TC-016</x:v>
      </x:c>
      <x:c r="B21" s="3" t="str">
        <x:v>P0</x:v>
      </x:c>
      <x:c r="C21" s="3" t="str">
        <x:v>기능</x:v>
      </x:c>
      <x:c r="D21" s="11" t="str">
        <x:v>미실행</x:v>
      </x:c>
      <x:c r="E21" s="11" t="str">
        <x:v>미실행</x:v>
      </x:c>
      <x:c r="F21" s="3" t="str">
        <x:v>여행</x:v>
      </x:c>
      <x:c r="G21" s="3" t="str">
        <x:v>기록 있는 날짜 삭제 방지</x:v>
      </x:c>
      <x:c r="H21" s="3" t="str">
        <x:v>KO·EN</x:v>
      </x:c>
      <x:c r="I21" s="3" t="str">
        <x:v>Android APK</x:v>
      </x:c>
      <x:c r="J21" s="3" t="str">
        <x:v>TC-013. 마지막 날 일정 또는 비용 있음</x:v>
      </x:c>
      <x:c r="K21" s="3" t="str">
        <x:v>1. 기간 변경에서 마지막 날 제외 시도
2. 결과와 기존 자료 재조회</x:v>
      </x:c>
      <x:c r="L21" s="3" t="str">
        <x:v>참조 기록이 있는 날짜 축소는 오류로 차단한다. 기존 일정·비용·사진을 몰래 삭제하거나 다른 날짜로 옮기지 않는다.</x:v>
      </x:c>
      <x:c r="M21" s="3" t="str"/>
      <x:c r="N21" s="11" t="str"/>
      <x:c r="O21" s="11" t="str"/>
      <x:c r="P21" s="11" t="str"/>
      <x:c r="Q21" s="12"/>
      <x:c r="R21" s="12"/>
      <x:c r="S21" s="11" t="str"/>
      <x:c r="T21" s="11" t="str"/>
      <x:c r="U21" s="11" t="str"/>
    </x:row>
    <x:row r="22" ht="72" customHeight="1">
      <x:c r="A22" s="3" t="str">
        <x:v>TC-017</x:v>
      </x:c>
      <x:c r="B22" s="3" t="str">
        <x:v>P1</x:v>
      </x:c>
      <x:c r="C22" s="3" t="str">
        <x:v>기능</x:v>
      </x:c>
      <x:c r="D22" s="11" t="str">
        <x:v>미실행</x:v>
      </x:c>
      <x:c r="E22" s="11" t="str">
        <x:v>미실행</x:v>
      </x:c>
      <x:c r="F22" s="3" t="str">
        <x:v>여행</x:v>
      </x:c>
      <x:c r="G22" s="3" t="str">
        <x:v>여행 생성 중 취소</x:v>
      </x:c>
      <x:c r="H22" s="3" t="str">
        <x:v>KO·EN</x:v>
      </x:c>
      <x:c r="I22" s="3" t="str">
        <x:v>Android APK</x:v>
      </x:c>
      <x:c r="J22" s="3" t="str">
        <x:v>내 여행 목록. 새 여행 작성</x:v>
      </x:c>
      <x:c r="K22" s="3" t="str">
        <x:v>1. 제목·국가·날짜 입력
2. 취소로 목록 복귀
3. 목록 새로고침</x:v>
      </x:c>
      <x:c r="L22" s="3" t="str">
        <x:v>미저장 여행이 서버 목록에 생기지 않는다. 다음 여행 폼을 정상적으로 열 수 있다.</x:v>
      </x:c>
      <x:c r="M22" s="3" t="str"/>
      <x:c r="N22" s="11" t="str"/>
      <x:c r="O22" s="11" t="str"/>
      <x:c r="P22" s="11" t="str"/>
      <x:c r="Q22" s="12"/>
      <x:c r="R22" s="12"/>
      <x:c r="S22" s="11" t="str"/>
      <x:c r="T22" s="11" t="str"/>
      <x:c r="U22" s="11" t="str"/>
    </x:row>
    <x:row r="23" ht="72" customHeight="1">
      <x:c r="A23" s="3" t="str">
        <x:v>TC-018</x:v>
      </x:c>
      <x:c r="B23" s="3" t="str">
        <x:v>P0</x:v>
      </x:c>
      <x:c r="C23" s="3" t="str">
        <x:v>기능</x:v>
      </x:c>
      <x:c r="D23" s="11" t="str">
        <x:v>미실행</x:v>
      </x:c>
      <x:c r="E23" s="11" t="str">
        <x:v>미실행</x:v>
      </x:c>
      <x:c r="F23" s="3" t="str">
        <x:v>일정</x:v>
      </x:c>
      <x:c r="G23" s="3" t="str">
        <x:v>숙소·맛집·관광·이동 기록</x:v>
      </x:c>
      <x:c r="H23" s="3" t="str">
        <x:v>KO·EN</x:v>
      </x:c>
      <x:c r="I23" s="3" t="str">
        <x:v>Android APK</x:v>
      </x:c>
      <x:c r="J23" s="3" t="str">
        <x:v>TC-013. A 소유자
도쿄 호텔 / 라멘집 / 센소지 / KE704 NRT→ICN</x:v>
      </x:c>
      <x:c r="K23" s="3" t="str">
        <x:v>1. DAY별 일정 추가
2. 숙소는 숙소, 맛집·관광은 장소, 귀국 항공은 이동 유형으로 입력
3. 시간·주소·메모 저장</x:v>
      </x:c>
      <x:c r="L23" s="3" t="str">
        <x:v>지정 날짜와 유형·시간·주소를 저장하고 날짜별 목록에 표시한다. 맛집·관광은 현재 장소 유형으로 기록된다.</x:v>
      </x:c>
      <x:c r="M23" s="3" t="str"/>
      <x:c r="N23" s="11" t="str"/>
      <x:c r="O23" s="11" t="str"/>
      <x:c r="P23" s="11" t="str"/>
      <x:c r="Q23" s="12"/>
      <x:c r="R23" s="12"/>
      <x:c r="S23" s="11" t="str"/>
      <x:c r="T23" s="11" t="str"/>
      <x:c r="U23" s="11" t="str"/>
    </x:row>
    <x:row r="24" ht="72" customHeight="1">
      <x:c r="A24" s="3" t="str">
        <x:v>TC-019</x:v>
      </x:c>
      <x:c r="B24" s="3" t="str">
        <x:v>P1</x:v>
      </x:c>
      <x:c r="C24" s="3" t="str">
        <x:v>기능</x:v>
      </x:c>
      <x:c r="D24" s="11" t="str">
        <x:v>미실행</x:v>
      </x:c>
      <x:c r="E24" s="11" t="str">
        <x:v>미실행</x:v>
      </x:c>
      <x:c r="F24" s="3" t="str">
        <x:v>일정</x:v>
      </x:c>
      <x:c r="G24" s="3" t="str">
        <x:v>일정 수정과 날짜 이동</x:v>
      </x:c>
      <x:c r="H24" s="3" t="str">
        <x:v>KO·EN</x:v>
      </x:c>
      <x:c r="I24" s="3" t="str">
        <x:v>Android APK</x:v>
      </x:c>
      <x:c r="J24" s="3" t="str">
        <x:v>TC-018. 영수증 미연결 일반 일정</x:v>
      </x:c>
      <x:c r="K24" s="3" t="str">
        <x:v>1. 일정 수정에서 제목·시간·주소 변경
2. 다른 DAY로 이동 후 저장
3. 이전·새 날짜와 재실행 확인</x:v>
      </x:c>
      <x:c r="L24" s="3" t="str">
        <x:v>한 일정만 수정된다. 이전 날짜에 중복이 없고 새 날짜에 수정 내용이 유지된다.</x:v>
      </x:c>
      <x:c r="M24" s="3" t="str"/>
      <x:c r="N24" s="11" t="str"/>
      <x:c r="O24" s="11" t="str"/>
      <x:c r="P24" s="11" t="str"/>
      <x:c r="Q24" s="12"/>
      <x:c r="R24" s="12"/>
      <x:c r="S24" s="11" t="str"/>
      <x:c r="T24" s="11" t="str"/>
      <x:c r="U24" s="11" t="str"/>
    </x:row>
    <x:row r="25" ht="72" customHeight="1">
      <x:c r="A25" s="3" t="str">
        <x:v>TC-020</x:v>
      </x:c>
      <x:c r="B25" s="3" t="str">
        <x:v>P1</x:v>
      </x:c>
      <x:c r="C25" s="3" t="str">
        <x:v>기능</x:v>
      </x:c>
      <x:c r="D25" s="11" t="str">
        <x:v>미실행</x:v>
      </x:c>
      <x:c r="E25" s="11" t="str">
        <x:v>미실행</x:v>
      </x:c>
      <x:c r="F25" s="3" t="str">
        <x:v>일정</x:v>
      </x:c>
      <x:c r="G25" s="3" t="str">
        <x:v>일정 삭제와 참조 보호</x:v>
      </x:c>
      <x:c r="H25" s="3" t="str">
        <x:v>KO·EN</x:v>
      </x:c>
      <x:c r="I25" s="3" t="str">
        <x:v>Android APK</x:v>
      </x:c>
      <x:c r="J25" s="3" t="str">
        <x:v>일반 일정과 영수증 연결 일정 각 1개</x:v>
      </x:c>
      <x:c r="K25" s="3" t="str">
        <x:v>1. 일반 일정 삭제
2. 영수증 연결 일정도 단독 삭제 시도
3. 목록·비용 확인</x:v>
      </x:c>
      <x:c r="L25" s="3" t="str">
        <x:v>일반 일정은 제거된다. 연결 기록의 제약을 위반하는 삭제는 오류로 차단하며 영수증·비용이 유실되지 않는다.</x:v>
      </x:c>
      <x:c r="M25" s="3" t="str"/>
      <x:c r="N25" s="11" t="str"/>
      <x:c r="O25" s="11" t="str"/>
      <x:c r="P25" s="11" t="str"/>
      <x:c r="Q25" s="12"/>
      <x:c r="R25" s="12"/>
      <x:c r="S25" s="11" t="str"/>
      <x:c r="T25" s="11" t="str"/>
      <x:c r="U25" s="11" t="str"/>
    </x:row>
    <x:row r="26" ht="72" customHeight="1">
      <x:c r="A26" s="3" t="str">
        <x:v>TC-021</x:v>
      </x:c>
      <x:c r="B26" s="3" t="str">
        <x:v>P1</x:v>
      </x:c>
      <x:c r="C26" s="3" t="str">
        <x:v>기능</x:v>
      </x:c>
      <x:c r="D26" s="11" t="str">
        <x:v>미실행</x:v>
      </x:c>
      <x:c r="E26" s="11" t="str">
        <x:v>미실행</x:v>
      </x:c>
      <x:c r="F26" s="3" t="str">
        <x:v>준비물</x:v>
      </x:c>
      <x:c r="G26" s="3" t="str">
        <x:v>체크리스트 저장·완료·복원</x:v>
      </x:c>
      <x:c r="H26" s="3" t="str">
        <x:v>KO·EN</x:v>
      </x:c>
      <x:c r="I26" s="3" t="str">
        <x:v>Android APK</x:v>
      </x:c>
      <x:c r="J26" s="3" t="str">
        <x:v>A 여행 상세
여권 확인</x:v>
      </x:c>
      <x:c r="K26" s="3" t="str">
        <x:v>1. 준비물 추가
2. 완료 체크 후 새로고침
3. 다시 해제 후 재조회</x:v>
      </x:c>
      <x:c r="L26" s="3" t="str">
        <x:v>항목과 완료 상태가 유지된다. 빠른 중복 선택으로 상태가 임의로 여러 번 반전되지 않는다.</x:v>
      </x:c>
      <x:c r="M26" s="3" t="str"/>
      <x:c r="N26" s="11" t="str"/>
      <x:c r="O26" s="11" t="str"/>
      <x:c r="P26" s="11" t="str"/>
      <x:c r="Q26" s="12"/>
      <x:c r="R26" s="12"/>
      <x:c r="S26" s="11" t="str"/>
      <x:c r="T26" s="11" t="str"/>
      <x:c r="U26" s="11" t="str"/>
    </x:row>
    <x:row r="27" ht="72" customHeight="1">
      <x:c r="A27" s="3" t="str">
        <x:v>TC-022</x:v>
      </x:c>
      <x:c r="B27" s="3" t="str">
        <x:v>P0</x:v>
      </x:c>
      <x:c r="C27" s="3" t="str">
        <x:v>기능</x:v>
      </x:c>
      <x:c r="D27" s="11" t="str">
        <x:v>미실행</x:v>
      </x:c>
      <x:c r="E27" s="11" t="str">
        <x:v>미실행</x:v>
      </x:c>
      <x:c r="F27" s="3" t="str">
        <x:v>비용</x:v>
      </x:c>
      <x:c r="G27" s="3" t="str">
        <x:v>통화별 실제 비용 합계</x:v>
      </x:c>
      <x:c r="H27" s="3" t="str">
        <x:v>KO·EN</x:v>
      </x:c>
      <x:c r="I27" s="3" t="str">
        <x:v>Android APK</x:v>
      </x:c>
      <x:c r="J27" s="3" t="str">
        <x:v>TC-013. 비용 등록 가능</x:v>
      </x:c>
      <x:c r="K27" s="3" t="str">
        <x:v>1. KRW 실제 12000·8000 추가
2. JPY 실제 1500 추가
3. KRW 예상 5000 추가
4. 실제·예상 집계 확인</x:v>
      </x:c>
      <x:c r="L27" s="3" t="str">
        <x:v>실제 합계 KRW 20000, JPY 1500이다. 예상 KRW 5000을 실제 합계에 더하지 않고 통화를 임의 환산·합산하지 않는다.</x:v>
      </x:c>
      <x:c r="M27" s="3" t="str"/>
      <x:c r="N27" s="11" t="str"/>
      <x:c r="O27" s="11" t="str"/>
      <x:c r="P27" s="11" t="str"/>
      <x:c r="Q27" s="12"/>
      <x:c r="R27" s="12"/>
      <x:c r="S27" s="11" t="str"/>
      <x:c r="T27" s="11" t="str"/>
      <x:c r="U27" s="11" t="str"/>
    </x:row>
    <x:row r="28" ht="72" customHeight="1">
      <x:c r="A28" s="3" t="str">
        <x:v>TC-023</x:v>
      </x:c>
      <x:c r="B28" s="3" t="str">
        <x:v>P1</x:v>
      </x:c>
      <x:c r="C28" s="3" t="str">
        <x:v>기능</x:v>
      </x:c>
      <x:c r="D28" s="11" t="str">
        <x:v>미실행</x:v>
      </x:c>
      <x:c r="E28" s="11" t="str">
        <x:v>미실행</x:v>
      </x:c>
      <x:c r="F28" s="3" t="str">
        <x:v>비용</x:v>
      </x:c>
      <x:c r="G28" s="3" t="str">
        <x:v>소수 금액과 입력 검증</x:v>
      </x:c>
      <x:c r="H28" s="3" t="str">
        <x:v>KO·EN</x:v>
      </x:c>
      <x:c r="I28" s="3" t="str">
        <x:v>Android APK</x:v>
      </x:c>
      <x:c r="J28" s="3" t="str">
        <x:v>비용 추가 화면</x:v>
      </x:c>
      <x:c r="K28" s="3" t="str">
        <x:v>1. USD 12.34 실제 비용 저장
2. KRW 또는 JPY 100.5 저장 시도
3. 문자·음수 입력 후 제출</x:v>
      </x:c>
      <x:c r="L28" s="3" t="str">
        <x:v>USD 12.34를 정확히 유지한다. KRW·JPY 소수 및 유효하지 않은 금액은 오류로 거부한다.</x:v>
      </x:c>
      <x:c r="M28" s="3" t="str"/>
      <x:c r="N28" s="11" t="str"/>
      <x:c r="O28" s="11" t="str"/>
      <x:c r="P28" s="11" t="str"/>
      <x:c r="Q28" s="12"/>
      <x:c r="R28" s="12"/>
      <x:c r="S28" s="11" t="str"/>
      <x:c r="T28" s="11" t="str"/>
      <x:c r="U28" s="11" t="str"/>
    </x:row>
    <x:row r="29" ht="72" customHeight="1">
      <x:c r="A29" s="3" t="str">
        <x:v>TC-024</x:v>
      </x:c>
      <x:c r="B29" s="3" t="str">
        <x:v>P1</x:v>
      </x:c>
      <x:c r="C29" s="3" t="str">
        <x:v>기능</x:v>
      </x:c>
      <x:c r="D29" s="11" t="str">
        <x:v>미실행</x:v>
      </x:c>
      <x:c r="E29" s="11" t="str">
        <x:v>미실행</x:v>
      </x:c>
      <x:c r="F29" s="3" t="str">
        <x:v>비용</x:v>
      </x:c>
      <x:c r="G29" s="3" t="str">
        <x:v>수정·삭제 후 집계</x:v>
      </x:c>
      <x:c r="H29" s="3" t="str">
        <x:v>KO·EN</x:v>
      </x:c>
      <x:c r="I29" s="3" t="str">
        <x:v>Android APK</x:v>
      </x:c>
      <x:c r="J29" s="3" t="str">
        <x:v>TC-022. 일반 수동 비용</x:v>
      </x:c>
      <x:c r="K29" s="3" t="str">
        <x:v>1. KRW 8000을 9000으로 수정
2. KRW 12000 삭제
3. 앱 재실행 후 합계 확인</x:v>
      </x:c>
      <x:c r="L29" s="3" t="str">
        <x:v>실제 KRW 합계가 9000으로 갱신된다. JPY 및 예상 비용에는 영향이 없다.</x:v>
      </x:c>
      <x:c r="M29" s="3" t="str"/>
      <x:c r="N29" s="11" t="str"/>
      <x:c r="O29" s="11" t="str"/>
      <x:c r="P29" s="11" t="str"/>
      <x:c r="Q29" s="12"/>
      <x:c r="R29" s="12"/>
      <x:c r="S29" s="11" t="str"/>
      <x:c r="T29" s="11" t="str"/>
      <x:c r="U29" s="11" t="str"/>
    </x:row>
    <x:row r="30" ht="72" customHeight="1">
      <x:c r="A30" s="3" t="str">
        <x:v>TC-025</x:v>
      </x:c>
      <x:c r="B30" s="3" t="str">
        <x:v>P0</x:v>
      </x:c>
      <x:c r="C30" s="3" t="str">
        <x:v>기능</x:v>
      </x:c>
      <x:c r="D30" s="11" t="str">
        <x:v>미실행</x:v>
      </x:c>
      <x:c r="E30" s="11" t="str">
        <x:v>미실행</x:v>
      </x:c>
      <x:c r="F30" s="3" t="str">
        <x:v>사진</x:v>
      </x:c>
      <x:c r="G30" s="3" t="str">
        <x:v>사진 업로드와 재실행 후 조회</x:v>
      </x:c>
      <x:c r="H30" s="3" t="str">
        <x:v>KO·EN</x:v>
      </x:c>
      <x:c r="I30" s="3" t="str">
        <x:v>Android APK</x:v>
      </x:c>
      <x:c r="J30" s="3" t="str">
        <x:v>A 여행 일정. JPEG/PNG 준비
TD-03 정상 JPEG/PNG. 작은 사진부터 실행.</x:v>
      </x:c>
      <x:c r="K30" s="3" t="str">
        <x:v>1. 이 일정에 사진 추가로 사진 선택
2. 저장 확인 후 앱 종료
3. 여행·다이어리에서 재조회</x:v>
      </x:c>
      <x:c r="L30" s="3" t="str">
        <x:v>선택한 일정에 사진 한 장을 저장한다. 재실행 후 여행과 다이어리에서 같은 사진을 볼 수 있다. 다른 여행에 사진이 연결되지 않는다.</x:v>
      </x:c>
      <x:c r="M30" s="3" t="str"/>
      <x:c r="N30" s="11" t="str"/>
      <x:c r="O30" s="11" t="str"/>
      <x:c r="P30" s="11" t="str"/>
      <x:c r="Q30" s="12"/>
      <x:c r="R30" s="12"/>
      <x:c r="S30" s="11" t="str"/>
      <x:c r="T30" s="11" t="str"/>
      <x:c r="U30" s="11" t="str"/>
    </x:row>
    <x:row r="31" ht="72" customHeight="1">
      <x:c r="A31" s="3" t="str">
        <x:v>TC-026</x:v>
      </x:c>
      <x:c r="B31" s="3" t="str">
        <x:v>P0</x:v>
      </x:c>
      <x:c r="C31" s="3" t="str">
        <x:v>기능</x:v>
      </x:c>
      <x:c r="D31" s="11" t="str">
        <x:v>미실행</x:v>
      </x:c>
      <x:c r="E31" s="11" t="str">
        <x:v>미실행</x:v>
      </x:c>
      <x:c r="F31" s="3" t="str">
        <x:v>카메라</x:v>
      </x:c>
      <x:c r="G31" s="3" t="str">
        <x:v>촬영 권한 허용과 저장</x:v>
      </x:c>
      <x:c r="H31" s="3" t="str">
        <x:v>KO·EN</x:v>
      </x:c>
      <x:c r="I31" s="3" t="str">
        <x:v>Android APK</x:v>
      </x:c>
      <x:c r="J31" s="3" t="str">
        <x:v>카메라 권한 미결정. A 일정</x:v>
      </x:c>
      <x:c r="K31" s="3" t="str">
        <x:v>1. 이 일정에서 사진 촬영
2. 권한 허용 후 촬영·사용
3. 해당 일정 사진 재조회</x:v>
      </x:c>
      <x:c r="L31" s="3" t="str">
        <x:v>카메라가 열리고 사용한 사진이 해당 일정에만 저장된다. 앱 복귀 후 충돌이 없다.</x:v>
      </x:c>
      <x:c r="M31" s="3" t="str"/>
      <x:c r="N31" s="11" t="str"/>
      <x:c r="O31" s="11" t="str"/>
      <x:c r="P31" s="11" t="str"/>
      <x:c r="Q31" s="12"/>
      <x:c r="R31" s="12"/>
      <x:c r="S31" s="11" t="str"/>
      <x:c r="T31" s="11" t="str"/>
      <x:c r="U31" s="11" t="str"/>
    </x:row>
    <x:row r="32" ht="72" customHeight="1">
      <x:c r="A32" s="3" t="str">
        <x:v>TC-027</x:v>
      </x:c>
      <x:c r="B32" s="3" t="str">
        <x:v>P0</x:v>
      </x:c>
      <x:c r="C32" s="3" t="str">
        <x:v>기능</x:v>
      </x:c>
      <x:c r="D32" s="11" t="str">
        <x:v>미실행</x:v>
      </x:c>
      <x:c r="E32" s="11" t="str">
        <x:v>미실행</x:v>
      </x:c>
      <x:c r="F32" s="3" t="str">
        <x:v>카메라</x:v>
      </x:c>
      <x:c r="G32" s="3" t="str">
        <x:v>권한 거부 후 복구</x:v>
      </x:c>
      <x:c r="H32" s="3" t="str">
        <x:v>KO·EN</x:v>
      </x:c>
      <x:c r="I32" s="3" t="str">
        <x:v>Android APK</x:v>
      </x:c>
      <x:c r="J32" s="3" t="str">
        <x:v>별도 테스트 기기 또는 권한 초기화</x:v>
      </x:c>
      <x:c r="K32" s="3" t="str">
        <x:v>1. 카메라 요청 거부
2. 화면 복귀와 사진 선택 확인
3. Android 설정에서 허용 후 다시 촬영</x:v>
      </x:c>
      <x:c r="L32" s="3" t="str">
        <x:v>거부 시 오류 안내 후 화면이 유지된다. 미촬영 사진은 생성하지 않는다. 권한 허용 뒤 다시 촬영 가능하다.</x:v>
      </x:c>
      <x:c r="M32" s="3" t="str"/>
      <x:c r="N32" s="11" t="str"/>
      <x:c r="O32" s="11" t="str"/>
      <x:c r="P32" s="11" t="str"/>
      <x:c r="Q32" s="12"/>
      <x:c r="R32" s="12"/>
      <x:c r="S32" s="11" t="str"/>
      <x:c r="T32" s="11" t="str"/>
      <x:c r="U32" s="11" t="str"/>
    </x:row>
    <x:row r="33" ht="72" customHeight="1">
      <x:c r="A33" s="3" t="str">
        <x:v>TC-028</x:v>
      </x:c>
      <x:c r="B33" s="3" t="str">
        <x:v>P1</x:v>
      </x:c>
      <x:c r="C33" s="3" t="str">
        <x:v>기능</x:v>
      </x:c>
      <x:c r="D33" s="11" t="str">
        <x:v>미실행</x:v>
      </x:c>
      <x:c r="E33" s="11" t="str">
        <x:v>미실행</x:v>
      </x:c>
      <x:c r="F33" s="3" t="str">
        <x:v>사진</x:v>
      </x:c>
      <x:c r="G33" s="3" t="str">
        <x:v>촬영·선택 취소</x:v>
      </x:c>
      <x:c r="H33" s="3" t="str">
        <x:v>KO·EN</x:v>
      </x:c>
      <x:c r="I33" s="3" t="str">
        <x:v>Android APK</x:v>
      </x:c>
      <x:c r="J33" s="3" t="str">
        <x:v>A 일정. 카메라/앨범 진입 가능</x:v>
      </x:c>
      <x:c r="K33" s="3" t="str">
        <x:v>1. 카메라에서 취소
2. 사진 선택 창에서도 취소
3. 사진·영수증 목록 확인</x:v>
      </x:c>
      <x:c r="L33" s="3" t="str">
        <x:v>목록과 비용에 변화가 없다. 로딩이 해제되고 다른 작업이 가능하다.</x:v>
      </x:c>
      <x:c r="M33" s="3" t="str"/>
      <x:c r="N33" s="11" t="str"/>
      <x:c r="O33" s="11" t="str"/>
      <x:c r="P33" s="11" t="str"/>
      <x:c r="Q33" s="12"/>
      <x:c r="R33" s="12"/>
      <x:c r="S33" s="11" t="str"/>
      <x:c r="T33" s="11" t="str"/>
      <x:c r="U33" s="11" t="str"/>
    </x:row>
    <x:row r="34" ht="72" customHeight="1">
      <x:c r="A34" s="3" t="str">
        <x:v>TC-029</x:v>
      </x:c>
      <x:c r="B34" s="3" t="str">
        <x:v>P1</x:v>
      </x:c>
      <x:c r="C34" s="3" t="str">
        <x:v>기능</x:v>
      </x:c>
      <x:c r="D34" s="11" t="str">
        <x:v>미실행</x:v>
      </x:c>
      <x:c r="E34" s="11" t="str">
        <x:v>미실행</x:v>
      </x:c>
      <x:c r="F34" s="3" t="str">
        <x:v>사진</x:v>
      </x:c>
      <x:c r="G34" s="3" t="str">
        <x:v>전송 한도와 잘못된 이미지 거부</x:v>
      </x:c>
      <x:c r="H34" s="3" t="str">
        <x:v>KO·EN</x:v>
      </x:c>
      <x:c r="I34" s="3" t="str">
        <x:v>API QA</x:v>
      </x:c>
      <x:c r="J34" s="3" t="str">
        <x:v>QA용 실제 전송 파일 및 업로드 요청을 준비한다. 앱의 자동 압축은 TC-063에서 검사.
4,194,305바이트 이상의 실제 전송. 원본 8MB와 압축된 전송 크기는 별도 기록.</x:v>
      </x:c>
      <x:c r="K34" s="3" t="str">
        <x:v>1. 압축을 거치지 않은 4MiB 초과 전송 요청
2. PNG로 위장한 텍스트 파일 전송
3. 정상 이미지로 재시도</x:v>
      </x:c>
      <x:c r="L34" s="3" t="str">
        <x:v>서버 한도를 초과한 실제 전송과 잘못된 이미지 시그니처를 거부한다. 실패를 성공으로 안내하지 않고 정상 사진으로 다시 이용할 수 있다.</x:v>
      </x:c>
      <x:c r="M34" s="3" t="str"/>
      <x:c r="N34" s="11" t="str"/>
      <x:c r="O34" s="11" t="str"/>
      <x:c r="P34" s="11" t="str"/>
      <x:c r="Q34" s="12"/>
      <x:c r="R34" s="12"/>
      <x:c r="S34" s="11" t="str"/>
      <x:c r="T34" s="11" t="str"/>
      <x:c r="U34" s="11" t="str"/>
    </x:row>
    <x:row r="35" ht="72" customHeight="1">
      <x:c r="A35" s="3" t="str">
        <x:v>TC-030</x:v>
      </x:c>
      <x:c r="B35" s="3" t="str">
        <x:v>P0</x:v>
      </x:c>
      <x:c r="C35" s="3" t="str">
        <x:v>기능</x:v>
      </x:c>
      <x:c r="D35" s="11" t="str">
        <x:v>미실행</x:v>
      </x:c>
      <x:c r="E35" s="11" t="str">
        <x:v>미실행</x:v>
      </x:c>
      <x:c r="F35" s="3" t="str">
        <x:v>사진</x:v>
      </x:c>
      <x:c r="G35" s="3" t="str">
        <x:v>비멤버 사진 접근 차단</x:v>
      </x:c>
      <x:c r="H35" s="3" t="str">
        <x:v>KO·EN</x:v>
      </x:c>
      <x:c r="I35" s="3" t="str">
        <x:v>Android APK + API QA</x:v>
      </x:c>
      <x:c r="J35" s="3" t="str">
        <x:v>A 비공개 여행 사진. C는 미참여
서명 URL·토큰은 증거에 마스킹</x:v>
      </x:c>
      <x:c r="K35" s="3" t="str">
        <x:v>1. A에게만 허용된 사진 접근을 확인
2. C 또는 로그아웃 브라우저에서 같은 원본 접근
3. 공개 게시하지 않은 사진 확인</x:v>
      </x:c>
      <x:c r="L35" s="3" t="str">
        <x:v>현재 여행 멤버가 아닌 C에게 원본이 노출되지 않는다. 버킷 공개 URL도 제공되지 않는다.</x:v>
      </x:c>
      <x:c r="M35" s="3" t="str"/>
      <x:c r="N35" s="11" t="str"/>
      <x:c r="O35" s="11" t="str"/>
      <x:c r="P35" s="11" t="str"/>
      <x:c r="Q35" s="12"/>
      <x:c r="R35" s="12"/>
      <x:c r="S35" s="11" t="str"/>
      <x:c r="T35" s="11" t="str"/>
      <x:c r="U35" s="11" t="str"/>
    </x:row>
    <x:row r="36" ht="72" customHeight="1">
      <x:c r="A36" s="3" t="str">
        <x:v>TC-031</x:v>
      </x:c>
      <x:c r="B36" s="3" t="str">
        <x:v>P1</x:v>
      </x:c>
      <x:c r="C36" s="3" t="str">
        <x:v>기능</x:v>
      </x:c>
      <x:c r="D36" s="11" t="str">
        <x:v>미실행</x:v>
      </x:c>
      <x:c r="E36" s="11" t="str">
        <x:v>미실행</x:v>
      </x:c>
      <x:c r="F36" s="3" t="str">
        <x:v>사진</x:v>
      </x:c>
      <x:c r="G36" s="3" t="str">
        <x:v>사진 삭제 후 원본 차단</x:v>
      </x:c>
      <x:c r="H36" s="3" t="str">
        <x:v>KO·EN</x:v>
      </x:c>
      <x:c r="I36" s="3" t="str">
        <x:v>Android APK + API QA</x:v>
      </x:c>
      <x:c r="J36" s="3" t="str">
        <x:v>게시·영수증 미참조 일반 사진
URL 만료 효과와 구분해 삭제 직후 검사</x:v>
      </x:c>
      <x:c r="K36" s="3" t="str">
        <x:v>1. 사진 등록 삭제
2. 여행 새로고침
3. 이전 원본 요청 재확인</x:v>
      </x:c>
      <x:c r="L36" s="3" t="str">
        <x:v>사진 목록에서 제거되고 이전 원본 접근이 차단된다. 다른 사진에는 영향이 없다.</x:v>
      </x:c>
      <x:c r="M36" s="3" t="str"/>
      <x:c r="N36" s="11" t="str"/>
      <x:c r="O36" s="11" t="str"/>
      <x:c r="P36" s="11" t="str"/>
      <x:c r="Q36" s="12"/>
      <x:c r="R36" s="12"/>
      <x:c r="S36" s="11" t="str"/>
      <x:c r="T36" s="11" t="str"/>
      <x:c r="U36" s="11" t="str"/>
    </x:row>
    <x:row r="37" ht="81" customHeight="1">
      <x:c r="A37" s="3" t="str">
        <x:v>TC-032</x:v>
      </x:c>
      <x:c r="B37" s="3" t="str">
        <x:v>P0</x:v>
      </x:c>
      <x:c r="C37" s="3" t="str">
        <x:v>기능</x:v>
      </x:c>
      <x:c r="D37" s="11" t="str">
        <x:v>미실행</x:v>
      </x:c>
      <x:c r="E37" s="11" t="str">
        <x:v>미실행</x:v>
      </x:c>
      <x:c r="F37" s="3" t="str">
        <x:v>영수증</x:v>
      </x:c>
      <x:c r="G37" s="3" t="str">
        <x:v>영수증 사진에서 내용 자동 추출</x:v>
      </x:c>
      <x:c r="H37" s="3" t="str">
        <x:v>KO·EN</x:v>
      </x:c>
      <x:c r="I37" s="3" t="str">
        <x:v>Android APK</x:v>
      </x:c>
      <x:c r="J37" s="3" t="str">
        <x:v>A 로그인. TD-02 여행(2026-09-26~28)과 제공된 Kagerou Cafe 영수증 사진. 스캔 서비스 정상.
TD-02. 메뉴별 OCR 오독은 원본과 비교해 실제 결과에 기록.</x:v>
      </x:c>
      <x:c r="K37" s="3" t="str">
        <x:v>1. 영수증 촬영 또는 사진 선택
2. 스캔 중 하루 안내 확인
3. 상호·주소·결제 일시·메뉴·통화·합계 후보 확인
4. 저장 전 일정·지출 목록 확인</x:v>
      </x:c>
      <x:c r="L37" s="3" t="str">
        <x:v>전체 내용을 직접 입력하도록 요구하지 않고 사진에서 읽은 후보를 먼저 보여준다. 결제는 2026-09-28 16:36, JPY 2450이며 입점 13:50·세금 222·거스름돈 0과 구별한다. 불확실하거나 잘못 읽은 항목은 확인·수정할 수 있다. 등록 전 일정·지출을 만들지 않는다.</x:v>
      </x:c>
      <x:c r="M37" s="3" t="str">
        <x:v>RECEIPT.LOADING,RECEIPT.REVIEW</x:v>
      </x:c>
      <x:c r="N37" s="11" t="str"/>
      <x:c r="O37" s="11" t="str"/>
      <x:c r="P37" s="11" t="str"/>
      <x:c r="Q37" s="12"/>
      <x:c r="R37" s="12"/>
      <x:c r="S37" s="11" t="str"/>
      <x:c r="T37" s="11" t="str"/>
      <x:c r="U37" s="11" t="str"/>
    </x:row>
    <x:row r="38" ht="72" customHeight="1">
      <x:c r="A38" s="3" t="str">
        <x:v>TC-033</x:v>
      </x:c>
      <x:c r="B38" s="3" t="str">
        <x:v>P0</x:v>
      </x:c>
      <x:c r="C38" s="3" t="str">
        <x:v>기능</x:v>
      </x:c>
      <x:c r="D38" s="11" t="str">
        <x:v>미실행</x:v>
      </x:c>
      <x:c r="E38" s="11" t="str">
        <x:v>미실행</x:v>
      </x:c>
      <x:c r="F38" s="3" t="str">
        <x:v>영수증</x:v>
      </x:c>
      <x:c r="G38" s="3" t="str">
        <x:v>인식 내용 확인 후 날짜별 여행 기록 등록</x:v>
      </x:c>
      <x:c r="H38" s="3" t="str">
        <x:v>KO·EN</x:v>
      </x:c>
      <x:c r="I38" s="3" t="str">
        <x:v>Android APK</x:v>
      </x:c>
      <x:c r="J38" s="3" t="str">
        <x:v>TC-032의 인식 후보. TD-02 3일 여행. 미등록 원본.
TD-02. はっさくソーダ를 はつさくソーダ로 읽으면 해당 메뉴만 수정.</x:v>
      </x:c>
      <x:c r="K38" s="3" t="str">
        <x:v>1. 맞게 읽은 내용 확인
2. 필요한 오독 항목만 수정
3. 여행 기록에 등록 선택
4. DAY3·비용·원본 사진 재조회</x:v>
      </x:c>
      <x:c r="L38" s="3" t="str">
        <x:v>DAY3(9월 28일)에 Kagerou Cafe 장소 기록과 실제 지출 JPY 2450이 한 번 생성된다. 주소·결제 시간 16:36·메뉴·수량·가격·원본 사진 연결을 유지한다.</x:v>
      </x:c>
      <x:c r="M38" s="3" t="str">
        <x:v>RECEIPT.REGISTER,RECEIPT.EDIT</x:v>
      </x:c>
      <x:c r="N38" s="11" t="str"/>
      <x:c r="O38" s="11" t="str"/>
      <x:c r="P38" s="11" t="str"/>
      <x:c r="Q38" s="12"/>
      <x:c r="R38" s="12"/>
      <x:c r="S38" s="11" t="str"/>
      <x:c r="T38" s="11" t="str"/>
      <x:c r="U38" s="11" t="str"/>
    </x:row>
    <x:row r="39" ht="72" customHeight="1">
      <x:c r="A39" s="3" t="str">
        <x:v>TC-034</x:v>
      </x:c>
      <x:c r="B39" s="3" t="str">
        <x:v>P1</x:v>
      </x:c>
      <x:c r="C39" s="3" t="str">
        <x:v>기능</x:v>
      </x:c>
      <x:c r="D39" s="11" t="str">
        <x:v>미실행</x:v>
      </x:c>
      <x:c r="E39" s="11" t="str">
        <x:v>미실행</x:v>
      </x:c>
      <x:c r="F39" s="3" t="str">
        <x:v>영수증</x:v>
      </x:c>
      <x:c r="G39" s="3" t="str">
        <x:v>재시도·중복 입력 방지</x:v>
      </x:c>
      <x:c r="H39" s="3" t="str">
        <x:v>KO·EN</x:v>
      </x:c>
      <x:c r="I39" s="3" t="str">
        <x:v>Android APK</x:v>
      </x:c>
      <x:c r="J39" s="3" t="str">
        <x:v>TC-033 확인 완료 영수증</x:v>
      </x:c>
      <x:c r="K39" s="3" t="str">
        <x:v>1. 같은 원본으로 확인 저장 재시도
2. 빠르게 저장 버튼 중복 선택
3. 일정·비용 개수 재조회</x:v>
      </x:c>
      <x:c r="L39" s="3" t="str">
        <x:v>중복 기록·중복 지출을 생성하지 않는다. 이미 등록됨 또는 안전한 재시도 안내를 표시한다.</x:v>
      </x:c>
      <x:c r="M39" s="3" t="str"/>
      <x:c r="N39" s="11" t="str"/>
      <x:c r="O39" s="11" t="str"/>
      <x:c r="P39" s="11" t="str"/>
      <x:c r="Q39" s="12"/>
      <x:c r="R39" s="12"/>
      <x:c r="S39" s="11" t="str"/>
      <x:c r="T39" s="11" t="str"/>
      <x:c r="U39" s="11" t="str"/>
    </x:row>
    <x:row r="40" ht="72" customHeight="1">
      <x:c r="A40" s="3" t="str">
        <x:v>TC-035</x:v>
      </x:c>
      <x:c r="B40" s="3" t="str">
        <x:v>P1</x:v>
      </x:c>
      <x:c r="C40" s="3" t="str">
        <x:v>기능</x:v>
      </x:c>
      <x:c r="D40" s="11" t="str">
        <x:v>미실행</x:v>
      </x:c>
      <x:c r="E40" s="11" t="str">
        <x:v>미실행</x:v>
      </x:c>
      <x:c r="F40" s="3" t="str">
        <x:v>영수증</x:v>
      </x:c>
      <x:c r="G40" s="3" t="str">
        <x:v>기록·지출 삭제 관계</x:v>
      </x:c>
      <x:c r="H40" s="3" t="str">
        <x:v>KO·EN</x:v>
      </x:c>
      <x:c r="I40" s="3" t="str">
        <x:v>Android APK</x:v>
      </x:c>
      <x:c r="J40" s="3" t="str">
        <x:v>TC-033 생성 영수증 기록</x:v>
      </x:c>
      <x:c r="K40" s="3" t="str">
        <x:v>1. 영수증 비용 단독 삭제 시도
2. 영수증 기록·지출 삭제 기능 사용
3. 일정·비용·사진 목록 확인</x:v>
      </x:c>
      <x:c r="L40" s="3" t="str">
        <x:v>참조 제약을 안내한다. 영수증용 삭제 명령이 성공하면 연결 기록·지출을 함께 정리하며 다른 수동 비용은 유지한다.</x:v>
      </x:c>
      <x:c r="M40" s="3" t="str"/>
      <x:c r="N40" s="11" t="str"/>
      <x:c r="O40" s="11" t="str"/>
      <x:c r="P40" s="11" t="str"/>
      <x:c r="Q40" s="12"/>
      <x:c r="R40" s="12"/>
      <x:c r="S40" s="11" t="str"/>
      <x:c r="T40" s="11" t="str"/>
      <x:c r="U40" s="11" t="str"/>
    </x:row>
    <x:row r="41" ht="72" customHeight="1">
      <x:c r="A41" s="3" t="str">
        <x:v>TC-036</x:v>
      </x:c>
      <x:c r="B41" s="3" t="str">
        <x:v>P0</x:v>
      </x:c>
      <x:c r="C41" s="3" t="str">
        <x:v>기능</x:v>
      </x:c>
      <x:c r="D41" s="11" t="str">
        <x:v>미실행</x:v>
      </x:c>
      <x:c r="E41" s="11" t="str">
        <x:v>미실행</x:v>
      </x:c>
      <x:c r="F41" s="3" t="str">
        <x:v>동행</x:v>
      </x:c>
      <x:c r="G41" s="3" t="str">
        <x:v>보기 초대와 읽기 권한</x:v>
      </x:c>
      <x:c r="H41" s="3" t="str">
        <x:v>KO·EN</x:v>
      </x:c>
      <x:c r="I41" s="3" t="str">
        <x:v>Android APK</x:v>
      </x:c>
      <x:c r="J41" s="3" t="str">
        <x:v>A 여행 소유자. B 미참여</x:v>
      </x:c>
      <x:c r="K41" s="3" t="str">
        <x:v>1. 보기 초대 공유에서 링크 발급
2. B가 초대 링크로 참여 화면에 붙여넣기
3. 명시적으로 참여 후 여행 조회</x:v>
      </x:c>
      <x:c r="L41" s="3" t="str">
        <x:v>B가 viewer로 참여하여 일정·사진·비용을 읽는다. 링크를 열기만 했을 때 자동 참여하지 않는다.</x:v>
      </x:c>
      <x:c r="M41" s="3" t="str"/>
      <x:c r="N41" s="11" t="str"/>
      <x:c r="O41" s="11" t="str"/>
      <x:c r="P41" s="11" t="str"/>
      <x:c r="Q41" s="12"/>
      <x:c r="R41" s="12"/>
      <x:c r="S41" s="11" t="str"/>
      <x:c r="T41" s="11" t="str"/>
      <x:c r="U41" s="11" t="str"/>
    </x:row>
    <x:row r="42" ht="72" customHeight="1">
      <x:c r="A42" s="3" t="str">
        <x:v>TC-037</x:v>
      </x:c>
      <x:c r="B42" s="3" t="str">
        <x:v>P0</x:v>
      </x:c>
      <x:c r="C42" s="3" t="str">
        <x:v>기능</x:v>
      </x:c>
      <x:c r="D42" s="11" t="str">
        <x:v>미실행</x:v>
      </x:c>
      <x:c r="E42" s="11" t="str">
        <x:v>미실행</x:v>
      </x:c>
      <x:c r="F42" s="3" t="str">
        <x:v>동행</x:v>
      </x:c>
      <x:c r="G42" s="3" t="str">
        <x:v>viewer 쓰기 금지</x:v>
      </x:c>
      <x:c r="H42" s="3" t="str">
        <x:v>KO·EN</x:v>
      </x:c>
      <x:c r="I42" s="3" t="str">
        <x:v>Android APK + API QA</x:v>
      </x:c>
      <x:c r="J42" s="3" t="str">
        <x:v>TC-036. B viewer
UI 검사 후 필요한 API 거부 검사</x:v>
      </x:c>
      <x:c r="K42" s="3" t="str">
        <x:v>1. B로 일정·비용·사진·기간·준비물 변경 시도
2. A로 원본 재조회</x:v>
      </x:c>
      <x:c r="L42" s="3" t="str">
        <x:v>버튼 제한 또는 서버 거부로 변경되지 않는다. 쓰기 제한을 우회한 요청도 거부해야 한다.</x:v>
      </x:c>
      <x:c r="M42" s="3" t="str"/>
      <x:c r="N42" s="11" t="str"/>
      <x:c r="O42" s="11" t="str"/>
      <x:c r="P42" s="11" t="str"/>
      <x:c r="Q42" s="12"/>
      <x:c r="R42" s="12"/>
      <x:c r="S42" s="11" t="str"/>
      <x:c r="T42" s="11" t="str"/>
      <x:c r="U42" s="11" t="str"/>
    </x:row>
    <x:row r="43" ht="72" customHeight="1">
      <x:c r="A43" s="3" t="str">
        <x:v>TC-038</x:v>
      </x:c>
      <x:c r="B43" s="3" t="str">
        <x:v>P0</x:v>
      </x:c>
      <x:c r="C43" s="3" t="str">
        <x:v>기능</x:v>
      </x:c>
      <x:c r="D43" s="11" t="str">
        <x:v>미실행</x:v>
      </x:c>
      <x:c r="E43" s="11" t="str">
        <x:v>미실행</x:v>
      </x:c>
      <x:c r="F43" s="3" t="str">
        <x:v>동행</x:v>
      </x:c>
      <x:c r="G43" s="3" t="str">
        <x:v>편집 초대와 공동 저장</x:v>
      </x:c>
      <x:c r="H43" s="3" t="str">
        <x:v>KO·EN</x:v>
      </x:c>
      <x:c r="I43" s="3" t="str">
        <x:v>Android APK</x:v>
      </x:c>
      <x:c r="J43" s="3" t="str">
        <x:v>A 소유자. C 미참여</x:v>
      </x:c>
      <x:c r="K43" s="3" t="str">
        <x:v>1. 편집 초대 공유 후 C 확인 참여
2. C가 일정·비용 추가
3. A 새로고침</x:v>
      </x:c>
      <x:c r="L43" s="3" t="str">
        <x:v>C가 editor로 참여한다. A와 C가 같은 저장 내용을 보고 소유자 권한은 A에게 남는다.</x:v>
      </x:c>
      <x:c r="M43" s="3" t="str"/>
      <x:c r="N43" s="11" t="str"/>
      <x:c r="O43" s="11" t="str"/>
      <x:c r="P43" s="11" t="str"/>
      <x:c r="Q43" s="12"/>
      <x:c r="R43" s="12"/>
      <x:c r="S43" s="11" t="str"/>
      <x:c r="T43" s="11" t="str"/>
      <x:c r="U43" s="11" t="str"/>
    </x:row>
    <x:row r="44" ht="72" customHeight="1">
      <x:c r="A44" s="3" t="str">
        <x:v>TC-039</x:v>
      </x:c>
      <x:c r="B44" s="3" t="str">
        <x:v>P0</x:v>
      </x:c>
      <x:c r="C44" s="3" t="str">
        <x:v>기능</x:v>
      </x:c>
      <x:c r="D44" s="11" t="str">
        <x:v>미실행</x:v>
      </x:c>
      <x:c r="E44" s="11" t="str">
        <x:v>미실행</x:v>
      </x:c>
      <x:c r="F44" s="3" t="str">
        <x:v>동행</x:v>
      </x:c>
      <x:c r="G44" s="3" t="str">
        <x:v>역할 변경과 참여 해제</x:v>
      </x:c>
      <x:c r="H44" s="3" t="str">
        <x:v>KO·EN</x:v>
      </x:c>
      <x:c r="I44" s="3" t="str">
        <x:v>Android APK</x:v>
      </x:c>
      <x:c r="J44" s="3" t="str">
        <x:v>A 소유자. B viewer. C editor</x:v>
      </x:c>
      <x:c r="K44" s="3" t="str">
        <x:v>1. B를 편집자로 변경 후 B 재조회·저장
2. C를 뷰어로 변경 후 쓰기 시도
3. C 참여 해제 후 접근</x:v>
      </x:c>
      <x:c r="L44" s="3" t="str">
        <x:v>B의 편집이 가능하고 C의 쓰기는 차단된다. 참여 해제된 C는 여행·원본 사진을 더 이상 읽지 못한다.</x:v>
      </x:c>
      <x:c r="M44" s="3" t="str"/>
      <x:c r="N44" s="11" t="str"/>
      <x:c r="O44" s="11" t="str"/>
      <x:c r="P44" s="11" t="str"/>
      <x:c r="Q44" s="12"/>
      <x:c r="R44" s="12"/>
      <x:c r="S44" s="11" t="str"/>
      <x:c r="T44" s="11" t="str"/>
      <x:c r="U44" s="11" t="str"/>
    </x:row>
    <x:row r="45" ht="72" customHeight="1">
      <x:c r="A45" s="3" t="str">
        <x:v>TC-040</x:v>
      </x:c>
      <x:c r="B45" s="3" t="str">
        <x:v>P1</x:v>
      </x:c>
      <x:c r="C45" s="3" t="str">
        <x:v>기능</x:v>
      </x:c>
      <x:c r="D45" s="11" t="str">
        <x:v>미실행</x:v>
      </x:c>
      <x:c r="E45" s="11" t="str">
        <x:v>미실행</x:v>
      </x:c>
      <x:c r="F45" s="3" t="str">
        <x:v>동행</x:v>
      </x:c>
      <x:c r="G45" s="3" t="str">
        <x:v>초대 취소·소비 링크 재사용</x:v>
      </x:c>
      <x:c r="H45" s="3" t="str">
        <x:v>KO·EN</x:v>
      </x:c>
      <x:c r="I45" s="3" t="str">
        <x:v>Android APK</x:v>
      </x:c>
      <x:c r="J45" s="3" t="str">
        <x:v>새 초대 1개 및 다른 계정이 소비한 링크</x:v>
      </x:c>
      <x:c r="K45" s="3" t="str">
        <x:v>1. A가 새 초대 취소
2. 미참여 계정으로 취소 링크 열기
3. 소비한 링크를 다른 미참여 계정으로 열기</x:v>
      </x:c>
      <x:c r="L45" s="3" t="str">
        <x:v>취소·소비된 초대로 새 회원이 참여하지 못한다. 오류를 안내하고 기존 멤버 목록은 유지된다.</x:v>
      </x:c>
      <x:c r="M45" s="3" t="str"/>
      <x:c r="N45" s="11" t="str"/>
      <x:c r="O45" s="11" t="str"/>
      <x:c r="P45" s="11" t="str"/>
      <x:c r="Q45" s="12"/>
      <x:c r="R45" s="12"/>
      <x:c r="S45" s="11" t="str"/>
      <x:c r="T45" s="11" t="str"/>
      <x:c r="U45" s="11" t="str"/>
    </x:row>
    <x:row r="46" ht="72" customHeight="1">
      <x:c r="A46" s="3" t="str">
        <x:v>TC-041</x:v>
      </x:c>
      <x:c r="B46" s="3" t="str">
        <x:v>P0</x:v>
      </x:c>
      <x:c r="C46" s="3" t="str">
        <x:v>기능</x:v>
      </x:c>
      <x:c r="D46" s="11" t="str">
        <x:v>미실행</x:v>
      </x:c>
      <x:c r="E46" s="11" t="str">
        <x:v>미실행</x:v>
      </x:c>
      <x:c r="F46" s="3" t="str">
        <x:v>동행</x:v>
      </x:c>
      <x:c r="G46" s="3" t="str">
        <x:v>로그인 전 초대 복귀</x:v>
      </x:c>
      <x:c r="H46" s="3" t="str">
        <x:v>KO·EN</x:v>
      </x:c>
      <x:c r="I46" s="3" t="str">
        <x:v>Android APK + 웹</x:v>
      </x:c>
      <x:c r="J46" s="3" t="str">
        <x:v>A 초대 발급. B 로그아웃
HTTPS 초대의 Android 자동 앱 열기는 현재 검증 범위와 구분</x:v>
      </x:c>
      <x:c r="K46" s="3" t="str">
        <x:v>1. B가 초대 링크로 참여에서 링크 입력
2. 로그인하고 참여 선택
3. 이메일 로그인 후 초대 확인 참여</x:v>
      </x:c>
      <x:c r="L46" s="3" t="str">
        <x:v>로그인 동안 토큰이 보존된다. 본래 여행·역할로 확인 참여할 수 있다.</x:v>
      </x:c>
      <x:c r="M46" s="3" t="str"/>
      <x:c r="N46" s="11" t="str"/>
      <x:c r="O46" s="11" t="str"/>
      <x:c r="P46" s="11" t="str"/>
      <x:c r="Q46" s="12"/>
      <x:c r="R46" s="12"/>
      <x:c r="S46" s="11" t="str"/>
      <x:c r="T46" s="11" t="str"/>
      <x:c r="U46" s="11" t="str"/>
    </x:row>
    <x:row r="47" ht="72" customHeight="1">
      <x:c r="A47" s="3" t="str">
        <x:v>TC-042</x:v>
      </x:c>
      <x:c r="B47" s="3" t="str">
        <x:v>P1</x:v>
      </x:c>
      <x:c r="C47" s="3" t="str">
        <x:v>기능</x:v>
      </x:c>
      <x:c r="D47" s="11" t="str">
        <x:v>미실행</x:v>
      </x:c>
      <x:c r="E47" s="11" t="str">
        <x:v>미실행</x:v>
      </x:c>
      <x:c r="F47" s="3" t="str">
        <x:v>동시성</x:v>
      </x:c>
      <x:c r="G47" s="3" t="str">
        <x:v>동행 동시 편집 충돌</x:v>
      </x:c>
      <x:c r="H47" s="3" t="str">
        <x:v>KO·EN</x:v>
      </x:c>
      <x:c r="I47" s="3" t="str">
        <x:v>Android APK</x:v>
      </x:c>
      <x:c r="J47" s="3" t="str">
        <x:v>A·C가 같은 여행 버전을 열어둠</x:v>
      </x:c>
      <x:c r="K47" s="3" t="str">
        <x:v>1. A와 C가 다른 변경을 거의 동시에 저장
2. 충돌 계정에서 새로고침·재시도
3. 두 변경 내용 재조회</x:v>
      </x:c>
      <x:c r="L47" s="3" t="str">
        <x:v>낡은 버전으로 조용히 덮어쓰지 않는다. 충돌을 안내하고 재조회 후 안전하게 저장하며 중복 기록이 없다.</x:v>
      </x:c>
      <x:c r="M47" s="3" t="str"/>
      <x:c r="N47" s="11" t="str"/>
      <x:c r="O47" s="11" t="str"/>
      <x:c r="P47" s="11" t="str"/>
      <x:c r="Q47" s="12"/>
      <x:c r="R47" s="12"/>
      <x:c r="S47" s="11" t="str"/>
      <x:c r="T47" s="11" t="str"/>
      <x:c r="U47" s="11" t="str"/>
    </x:row>
    <x:row r="48" ht="72" customHeight="1">
      <x:c r="A48" s="3" t="str">
        <x:v>TC-043</x:v>
      </x:c>
      <x:c r="B48" s="3" t="str">
        <x:v>P1</x:v>
      </x:c>
      <x:c r="C48" s="3" t="str">
        <x:v>기능</x:v>
      </x:c>
      <x:c r="D48" s="11" t="str">
        <x:v>미실행</x:v>
      </x:c>
      <x:c r="E48" s="11" t="str">
        <x:v>미실행</x:v>
      </x:c>
      <x:c r="F48" s="3" t="str">
        <x:v>지도</x:v>
      </x:c>
      <x:c r="G48" s="3" t="str">
        <x:v>지도 확인과 검색 실패 복구</x:v>
      </x:c>
      <x:c r="H48" s="3" t="str">
        <x:v>KO·EN</x:v>
      </x:c>
      <x:c r="I48" s="3" t="str">
        <x:v>Android APK</x:v>
      </x:c>
      <x:c r="J48" s="3" t="str">
        <x:v>A 여행. 공급자 검색 성공은 실제 연결 환경에서 실행한다. 이번 릴리즈는 외부 Google Maps 확인 경로를 우선 검사.
라멘집 테스트 주소</x:v>
      </x:c>
      <x:c r="K48" s="3" t="str">
        <x:v>1. 일정 작성에서 장소 검색
2. 검색 결과가 제공되면 장소 선택
3. 공급자 조회 실패를 재현하고 Google Maps 열기
4. 작성 내용 확인</x:v>
      </x:c>
      <x:c r="L48" s="3" t="str">
        <x:v>실제로 받은 결과만 보여준다. 검색 실패에서 재검색·Google Maps 확인 행동을 안내한다. 외부 지도는 올바른 검색어로 열리고 실패 시 작성 내용이 사라지지 않는다.</x:v>
      </x:c>
      <x:c r="M48" s="3" t="str">
        <x:v>MAP.ERROR,MAP.OPEN</x:v>
      </x:c>
      <x:c r="N48" s="11" t="str"/>
      <x:c r="O48" s="11" t="str"/>
      <x:c r="P48" s="11" t="str"/>
      <x:c r="Q48" s="12"/>
      <x:c r="R48" s="12"/>
      <x:c r="S48" s="11" t="str"/>
      <x:c r="T48" s="11" t="str"/>
      <x:c r="U48" s="11" t="str"/>
    </x:row>
    <x:row r="49" ht="72" customHeight="1">
      <x:c r="A49" s="3" t="str">
        <x:v>TC-044</x:v>
      </x:c>
      <x:c r="B49" s="3" t="str">
        <x:v>P0</x:v>
      </x:c>
      <x:c r="C49" s="3" t="str">
        <x:v>기능</x:v>
      </x:c>
      <x:c r="D49" s="11" t="str">
        <x:v>미실행</x:v>
      </x:c>
      <x:c r="E49" s="11" t="str">
        <x:v>미실행</x:v>
      </x:c>
      <x:c r="F49" s="3" t="str">
        <x:v>지도 공유</x:v>
      </x:c>
      <x:c r="G49" s="3" t="str">
        <x:v>Android 공유 시트 수신</x:v>
      </x:c>
      <x:c r="H49" s="3" t="str">
        <x:v>KO·EN</x:v>
      </x:c>
      <x:c r="I49" s="3" t="str">
        <x:v>Android APK</x:v>
      </x:c>
      <x:c r="J49" s="3" t="str">
        <x:v>APK 설치. Google Maps 장소. 앱 실행 중 및 종료 상태</x:v>
      </x:c>
      <x:c r="K49" s="3" t="str">
        <x:v>1. Google Maps 장소의 공유 시트 열기
2. TripPrint를 공유 대상으로 선택
3. 실행 중·종료 상태 각각 확인</x:v>
      </x:c>
      <x:c r="L49" s="3" t="str">
        <x:v>TripPrint가 텍스트 공유 대상으로 보인다. 가져오기 화면으로 원문이 전달되고 자동 일정 저장은 하지 않는다.</x:v>
      </x:c>
      <x:c r="M49" s="3" t="str"/>
      <x:c r="N49" s="11" t="str"/>
      <x:c r="O49" s="11" t="str"/>
      <x:c r="P49" s="11" t="str"/>
      <x:c r="Q49" s="12"/>
      <x:c r="R49" s="12"/>
      <x:c r="S49" s="11" t="str"/>
      <x:c r="T49" s="11" t="str"/>
      <x:c r="U49" s="11" t="str"/>
    </x:row>
    <x:row r="50" ht="72" customHeight="1">
      <x:c r="A50" s="3" t="str">
        <x:v>TC-045</x:v>
      </x:c>
      <x:c r="B50" s="3" t="str">
        <x:v>P1</x:v>
      </x:c>
      <x:c r="C50" s="3" t="str">
        <x:v>기능</x:v>
      </x:c>
      <x:c r="D50" s="11" t="str">
        <x:v>미실행</x:v>
      </x:c>
      <x:c r="E50" s="11" t="str">
        <x:v>미실행</x:v>
      </x:c>
      <x:c r="F50" s="3" t="str">
        <x:v>지도 공유</x:v>
      </x:c>
      <x:c r="G50" s="3" t="str">
        <x:v>공유 장소를 로그인 후 일정에 추가</x:v>
      </x:c>
      <x:c r="H50" s="3" t="str">
        <x:v>KO·EN</x:v>
      </x:c>
      <x:c r="I50" s="3" t="str">
        <x:v>Android APK</x:v>
      </x:c>
      <x:c r="J50" s="3" t="str">
        <x:v>TD-04 정상 Google Maps 단일 장소 링크. 로그아웃 상태.</x:v>
      </x:c>
      <x:c r="K50" s="3" t="str">
        <x:v>1. 공유 링크 가져오기
2. 로그인 후 같은 후보로 복귀
3. 여행·DAY 선택
4. 장소 내용을 확인하고 저장</x:v>
      </x:c>
      <x:c r="L50" s="3" t="str">
        <x:v>공유 후보를 로그인 중 잃지 않는다. 확인한 장소만 선택 DAY에 한 번 저장한다. 공급자 조회 실패 시 확인 방법을 안내하며 준비 문구나 가짜 검색 결과를 표시하지 않는다. 전체 즐겨찾기 동기화로 안내하지 않는다.</x:v>
      </x:c>
      <x:c r="M50" s="3" t="str">
        <x:v>MAP.IMPORT,MAP.FOUND</x:v>
      </x:c>
      <x:c r="N50" s="11" t="str"/>
      <x:c r="O50" s="11" t="str"/>
      <x:c r="P50" s="11" t="str"/>
      <x:c r="Q50" s="12"/>
      <x:c r="R50" s="12"/>
      <x:c r="S50" s="11" t="str"/>
      <x:c r="T50" s="11" t="str"/>
      <x:c r="U50" s="11" t="str"/>
    </x:row>
    <x:row r="51" ht="72" customHeight="1">
      <x:c r="A51" s="3" t="str">
        <x:v>TC-046</x:v>
      </x:c>
      <x:c r="B51" s="3" t="str">
        <x:v>P1</x:v>
      </x:c>
      <x:c r="C51" s="3" t="str">
        <x:v>기능</x:v>
      </x:c>
      <x:c r="D51" s="11" t="str">
        <x:v>미실행</x:v>
      </x:c>
      <x:c r="E51" s="11" t="str">
        <x:v>미실행</x:v>
      </x:c>
      <x:c r="F51" s="3" t="str">
        <x:v>지도 공유</x:v>
      </x:c>
      <x:c r="G51" s="3" t="str">
        <x:v>잘못된 링크 거부</x:v>
      </x:c>
      <x:c r="H51" s="3" t="str">
        <x:v>KO·EN</x:v>
      </x:c>
      <x:c r="I51" s="3" t="str">
        <x:v>Android APK</x:v>
      </x:c>
      <x:c r="J51" s="3" t="str">
        <x:v>장소 가져오기 입력 화면</x:v>
      </x:c>
      <x:c r="K51" s="3" t="str">
        <x:v>1. 일반 쇼핑 사이트 URL 입력
2. 깨진 링크 입력
3. 정상 Google Maps 링크로 수정</x:v>
      </x:c>
      <x:c r="L51" s="3" t="str">
        <x:v>잘못된 링크를 안내하고 외부 주소를 임의로 가져오거나 일정을 저장하지 않는다. 정상 입력으로 복구 가능하다.</x:v>
      </x:c>
      <x:c r="M51" s="3" t="str"/>
      <x:c r="N51" s="11" t="str"/>
      <x:c r="O51" s="11" t="str"/>
      <x:c r="P51" s="11" t="str"/>
      <x:c r="Q51" s="12"/>
      <x:c r="R51" s="12"/>
      <x:c r="S51" s="11" t="str"/>
      <x:c r="T51" s="11" t="str"/>
      <x:c r="U51" s="11" t="str"/>
    </x:row>
    <x:row r="52" ht="72" customHeight="1">
      <x:c r="A52" s="3" t="str">
        <x:v>TC-047</x:v>
      </x:c>
      <x:c r="B52" s="3" t="str">
        <x:v>P0</x:v>
      </x:c>
      <x:c r="C52" s="3" t="str">
        <x:v>기능</x:v>
      </x:c>
      <x:c r="D52" s="11" t="str">
        <x:v>미실행</x:v>
      </x:c>
      <x:c r="E52" s="11" t="str">
        <x:v>미실행</x:v>
      </x:c>
      <x:c r="F52" s="3" t="str">
        <x:v>발자국</x:v>
      </x:c>
      <x:c r="G52" s="3" t="str">
        <x:v>종료 여행 다이어리 생성</x:v>
      </x:c>
      <x:c r="H52" s="3" t="str">
        <x:v>KO·EN</x:v>
      </x:c>
      <x:c r="I52" s="3" t="str">
        <x:v>Android APK</x:v>
      </x:c>
      <x:c r="J52" s="3" t="str">
        <x:v>날짜별 일정·사진·영수증·비용이 있는 A 여행</x:v>
      </x:c>
      <x:c r="K52" s="3" t="str">
        <x:v>1. 여행 정보/종료 상태에서 여행 종료 저장
2. 발자국 다이어리 보기
3. 날짜 순서·연결 자료 확인</x:v>
      </x:c>
      <x:c r="L52" s="3" t="str">
        <x:v>저장 원본으로 날짜별 일정·사진·구매 기록·실제 비용을 표시한다. 원본에 자동 공개 권한을 부여하지 않는다.</x:v>
      </x:c>
      <x:c r="M52" s="3" t="str"/>
      <x:c r="N52" s="11" t="str"/>
      <x:c r="O52" s="11" t="str"/>
      <x:c r="P52" s="11" t="str"/>
      <x:c r="Q52" s="12"/>
      <x:c r="R52" s="12"/>
      <x:c r="S52" s="11" t="str"/>
      <x:c r="T52" s="11" t="str"/>
      <x:c r="U52" s="11" t="str"/>
    </x:row>
    <x:row r="53" ht="72" customHeight="1">
      <x:c r="A53" s="3" t="str">
        <x:v>TC-048</x:v>
      </x:c>
      <x:c r="B53" s="3" t="str">
        <x:v>P1</x:v>
      </x:c>
      <x:c r="C53" s="3" t="str">
        <x:v>기능</x:v>
      </x:c>
      <x:c r="D53" s="11" t="str">
        <x:v>미실행</x:v>
      </x:c>
      <x:c r="E53" s="11" t="str">
        <x:v>미실행</x:v>
      </x:c>
      <x:c r="F53" s="3" t="str">
        <x:v>발자국</x:v>
      </x:c>
      <x:c r="G53" s="3" t="str">
        <x:v>다이어리 합계와 미연결 기록</x:v>
      </x:c>
      <x:c r="H53" s="3" t="str">
        <x:v>KO·EN</x:v>
      </x:c>
      <x:c r="I53" s="3" t="str">
        <x:v>Android APK</x:v>
      </x:c>
      <x:c r="J53" s="3" t="str">
        <x:v>완료 여행. 통화별 실제·예상 비용 및 미연결 사진</x:v>
      </x:c>
      <x:c r="K53" s="3" t="str">
        <x:v>1. 다이어리 통화별 비용 확인
2. 공통 비용·미연결 사진 확인
3. 원본 여행과 대조</x:v>
      </x:c>
      <x:c r="L53" s="3" t="str">
        <x:v>실제 비용만 통화별 집계한다. 특정 일정에 연결되지 않은 자료도 누락하지 않으며 원본을 변경하지 않는다.</x:v>
      </x:c>
      <x:c r="M53" s="3" t="str"/>
      <x:c r="N53" s="11" t="str"/>
      <x:c r="O53" s="11" t="str"/>
      <x:c r="P53" s="11" t="str"/>
      <x:c r="Q53" s="12"/>
      <x:c r="R53" s="12"/>
      <x:c r="S53" s="11" t="str"/>
      <x:c r="T53" s="11" t="str"/>
      <x:c r="U53" s="11" t="str"/>
    </x:row>
    <x:row r="54" ht="72" customHeight="1">
      <x:c r="A54" s="3" t="str">
        <x:v>TC-049</x:v>
      </x:c>
      <x:c r="B54" s="3" t="str">
        <x:v>P1</x:v>
      </x:c>
      <x:c r="C54" s="3" t="str">
        <x:v>기능</x:v>
      </x:c>
      <x:c r="D54" s="11" t="str">
        <x:v>미실행</x:v>
      </x:c>
      <x:c r="E54" s="11" t="str">
        <x:v>미실행</x:v>
      </x:c>
      <x:c r="F54" s="3" t="str">
        <x:v>발자국</x:v>
      </x:c>
      <x:c r="G54" s="3" t="str">
        <x:v>재실행과 직접 URL 조회</x:v>
      </x:c>
      <x:c r="H54" s="3" t="str">
        <x:v>KO·EN</x:v>
      </x:c>
      <x:c r="I54" s="3" t="str">
        <x:v>Android APK + 웹</x:v>
      </x:c>
      <x:c r="J54" s="3" t="str">
        <x:v>A 완료 여행의 다이어리 ID
UUID 직접 경로는 HTML 200만으로 성공 판정하지 않음</x:v>
      </x:c>
      <x:c r="K54" s="3" t="str">
        <x:v>1. 앱 종료 후 발자국에서 재진입
2. 웹 다이어리 URL 새로고침
3. 미참여 B로 같은 URL 접근</x:v>
      </x:c>
      <x:c r="L54" s="3" t="str">
        <x:v>권한 있는 A의 다이어리가 복원된다. 비멤버 계정에게 비공개 원본을 노출하지 않는다.</x:v>
      </x:c>
      <x:c r="M54" s="3" t="str"/>
      <x:c r="N54" s="11" t="str"/>
      <x:c r="O54" s="11" t="str"/>
      <x:c r="P54" s="11" t="str"/>
      <x:c r="Q54" s="12"/>
      <x:c r="R54" s="12"/>
      <x:c r="S54" s="11" t="str"/>
      <x:c r="T54" s="11" t="str"/>
      <x:c r="U54" s="11" t="str"/>
    </x:row>
    <x:row r="55" ht="72" customHeight="1">
      <x:c r="A55" s="3" t="str">
        <x:v>TC-050</x:v>
      </x:c>
      <x:c r="B55" s="3" t="str">
        <x:v>P0</x:v>
      </x:c>
      <x:c r="C55" s="3" t="str">
        <x:v>기능</x:v>
      </x:c>
      <x:c r="D55" s="11" t="str">
        <x:v>미실행</x:v>
      </x:c>
      <x:c r="E55" s="11" t="str">
        <x:v>미실행</x:v>
      </x:c>
      <x:c r="F55" s="3" t="str">
        <x:v>커뮤니티</x:v>
      </x:c>
      <x:c r="G55" s="3" t="str">
        <x:v>선택 일정·사진·비용 게시</x:v>
      </x:c>
      <x:c r="H55" s="3" t="str">
        <x:v>KO·EN</x:v>
      </x:c>
      <x:c r="I55" s="3" t="str">
        <x:v>Android APK</x:v>
      </x:c>
      <x:c r="J55" s="3" t="str">
        <x:v>A 완료 여행. 비공개 메모와 영수증 원본 포함</x:v>
      </x:c>
      <x:c r="K55" s="3" t="str">
        <x:v>1. 게시에서 공개 범위 선택
2. 제목·본문 작성 후 저장
3. B 커뮤니티에서 조회</x:v>
      </x:c>
      <x:c r="L55" s="3" t="str">
        <x:v>선택한 범위만 게시한다. 개인 메모·영수증 원본은 공개하지 않는다. 비회원 피드에서도 허용 범위만 보인다.</x:v>
      </x:c>
      <x:c r="M55" s="3" t="str"/>
      <x:c r="N55" s="11" t="str"/>
      <x:c r="O55" s="11" t="str"/>
      <x:c r="P55" s="11" t="str"/>
      <x:c r="Q55" s="12"/>
      <x:c r="R55" s="12"/>
      <x:c r="S55" s="11" t="str"/>
      <x:c r="T55" s="11" t="str"/>
      <x:c r="U55" s="11" t="str"/>
    </x:row>
    <x:row r="56" ht="72" customHeight="1">
      <x:c r="A56" s="3" t="str">
        <x:v>TC-051</x:v>
      </x:c>
      <x:c r="B56" s="3" t="str">
        <x:v>P0</x:v>
      </x:c>
      <x:c r="C56" s="3" t="str">
        <x:v>기능</x:v>
      </x:c>
      <x:c r="D56" s="11" t="str">
        <x:v>미실행</x:v>
      </x:c>
      <x:c r="E56" s="11" t="str">
        <x:v>미실행</x:v>
      </x:c>
      <x:c r="F56" s="3" t="str">
        <x:v>커뮤니티</x:v>
      </x:c>
      <x:c r="G56" s="3" t="str">
        <x:v>공개 제외 범위 확인</x:v>
      </x:c>
      <x:c r="H56" s="3" t="str">
        <x:v>KO·EN</x:v>
      </x:c>
      <x:c r="I56" s="3" t="str">
        <x:v>Android APK</x:v>
      </x:c>
      <x:c r="J56" s="3" t="str">
        <x:v>A 완료 여행. 비용 또는 사진 미공개 선택</x:v>
      </x:c>
      <x:c r="K56" s="3" t="str">
        <x:v>1. 비용·사진 중 하나를 제외하고 게시
2. B·게스트에서 게시글 확인
3. 포함 자료와 제외 자료 비교</x:v>
      </x:c>
      <x:c r="L56" s="3" t="str">
        <x:v>제외한 사진·비용이 게시 응답과 화면에 나타나지 않는다. 다른 비공개 여행도 노출되지 않는다.</x:v>
      </x:c>
      <x:c r="M56" s="3" t="str"/>
      <x:c r="N56" s="11" t="str"/>
      <x:c r="O56" s="11" t="str"/>
      <x:c r="P56" s="11" t="str"/>
      <x:c r="Q56" s="12"/>
      <x:c r="R56" s="12"/>
      <x:c r="S56" s="11" t="str"/>
      <x:c r="T56" s="11" t="str"/>
      <x:c r="U56" s="11" t="str"/>
    </x:row>
    <x:row r="57" ht="72" customHeight="1">
      <x:c r="A57" s="3" t="str">
        <x:v>TC-052</x:v>
      </x:c>
      <x:c r="B57" s="3" t="str">
        <x:v>P0</x:v>
      </x:c>
      <x:c r="C57" s="3" t="str">
        <x:v>기능</x:v>
      </x:c>
      <x:c r="D57" s="11" t="str">
        <x:v>미실행</x:v>
      </x:c>
      <x:c r="E57" s="11" t="str">
        <x:v>미실행</x:v>
      </x:c>
      <x:c r="F57" s="3" t="str">
        <x:v>커뮤니티</x:v>
      </x:c>
      <x:c r="G57" s="3" t="str">
        <x:v>게시 철회와 사진 접근 차단</x:v>
      </x:c>
      <x:c r="H57" s="3" t="str">
        <x:v>KO·EN</x:v>
      </x:c>
      <x:c r="I57" s="3" t="str">
        <x:v>Android APK + API QA</x:v>
      </x:c>
      <x:c r="J57" s="3" t="str">
        <x:v>A 게시 완료. B가 공개 사진 URL을 확보
기존 URL은 증거에 마스킹. 철회와 단순 만료를 구분</x:v>
      </x:c>
      <x:c r="K57" s="3" t="str">
        <x:v>1. URL 조회 성공 확인 후 60초 안에 A 게시 철회
2. B 새로고침 및 같은 URL 조회
3. A 원본 여행 재조회</x:v>
      </x:c>
      <x:c r="L57" s="3" t="str">
        <x:v>게시글과 철회한 공개 사진 접근이 차단된다. A의 원본 여행·비공개 사진은 유지된다.</x:v>
      </x:c>
      <x:c r="M57" s="3" t="str"/>
      <x:c r="N57" s="11" t="str"/>
      <x:c r="O57" s="11" t="str"/>
      <x:c r="P57" s="11" t="str"/>
      <x:c r="Q57" s="12"/>
      <x:c r="R57" s="12"/>
      <x:c r="S57" s="11" t="str"/>
      <x:c r="T57" s="11" t="str"/>
      <x:c r="U57" s="11" t="str"/>
    </x:row>
    <x:row r="58" ht="72" customHeight="1">
      <x:c r="A58" s="3" t="str">
        <x:v>TC-053</x:v>
      </x:c>
      <x:c r="B58" s="3" t="str">
        <x:v>P1</x:v>
      </x:c>
      <x:c r="C58" s="3" t="str">
        <x:v>기능</x:v>
      </x:c>
      <x:c r="D58" s="11" t="str">
        <x:v>미실행</x:v>
      </x:c>
      <x:c r="E58" s="11" t="str">
        <x:v>미실행</x:v>
      </x:c>
      <x:c r="F58" s="3" t="str">
        <x:v>커뮤니티</x:v>
      </x:c>
      <x:c r="G58" s="3" t="str">
        <x:v>신고·차단</x:v>
      </x:c>
      <x:c r="H58" s="3" t="str">
        <x:v>KO·EN</x:v>
      </x:c>
      <x:c r="I58" s="3" t="str">
        <x:v>Android APK</x:v>
      </x:c>
      <x:c r="J58" s="3" t="str">
        <x:v>A 게시글. B 로그인</x:v>
      </x:c>
      <x:c r="K58" s="3" t="str">
        <x:v>1. B가 게시글 신고 사유 입력·제출
2. 작성자 차단
3. 피드 새로고침</x:v>
      </x:c>
      <x:c r="L58" s="3" t="str">
        <x:v>신고 저장을 안내한다. 운영 검토 완료라고 안내하지 않는다. 차단 작성자 게시물이 B 피드에 표시되지 않는다.</x:v>
      </x:c>
      <x:c r="M58" s="3" t="str"/>
      <x:c r="N58" s="11" t="str"/>
      <x:c r="O58" s="11" t="str"/>
      <x:c r="P58" s="11" t="str"/>
      <x:c r="Q58" s="12"/>
      <x:c r="R58" s="12"/>
      <x:c r="S58" s="11" t="str"/>
      <x:c r="T58" s="11" t="str"/>
      <x:c r="U58" s="11" t="str"/>
    </x:row>
    <x:row r="59" ht="72" customHeight="1">
      <x:c r="A59" s="3" t="str">
        <x:v>TC-054</x:v>
      </x:c>
      <x:c r="B59" s="3" t="str">
        <x:v>P1</x:v>
      </x:c>
      <x:c r="C59" s="3" t="str">
        <x:v>기능</x:v>
      </x:c>
      <x:c r="D59" s="11" t="str">
        <x:v>미실행</x:v>
      </x:c>
      <x:c r="E59" s="11" t="str">
        <x:v>미실행</x:v>
      </x:c>
      <x:c r="F59" s="3" t="str">
        <x:v>커뮤니티</x:v>
      </x:c>
      <x:c r="G59" s="3" t="str">
        <x:v>게시 실패·재시도</x:v>
      </x:c>
      <x:c r="H59" s="3" t="str">
        <x:v>KO·EN</x:v>
      </x:c>
      <x:c r="I59" s="3" t="str">
        <x:v>Android APK</x:v>
      </x:c>
      <x:c r="J59" s="3" t="str">
        <x:v>완료 여행. 게시 폼 작성</x:v>
      </x:c>
      <x:c r="K59" s="3" t="str">
        <x:v>1. 네트워크를 끄고 게시 시도
2. 입력 유지와 실패 안내 확인
3. 복구 후 재시도·피드 재조회</x:v>
      </x:c>
      <x:c r="L59" s="3" t="str">
        <x:v>오프라인 상태를 성공으로 안내하지 않는다. 재시도 후 같은 게시물 중복 생성 여부를 확인한다.</x:v>
      </x:c>
      <x:c r="M59" s="3" t="str"/>
      <x:c r="N59" s="11" t="str"/>
      <x:c r="O59" s="11" t="str"/>
      <x:c r="P59" s="11" t="str"/>
      <x:c r="Q59" s="12"/>
      <x:c r="R59" s="12"/>
      <x:c r="S59" s="11" t="str"/>
      <x:c r="T59" s="11" t="str"/>
      <x:c r="U59" s="11" t="str"/>
    </x:row>
    <x:row r="60" ht="72" customHeight="1">
      <x:c r="A60" s="3" t="str">
        <x:v>TC-055</x:v>
      </x:c>
      <x:c r="B60" s="3" t="str">
        <x:v>P1</x:v>
      </x:c>
      <x:c r="C60" s="3" t="str">
        <x:v>기능</x:v>
      </x:c>
      <x:c r="D60" s="11" t="str">
        <x:v>미실행</x:v>
      </x:c>
      <x:c r="E60" s="11" t="str">
        <x:v>미실행</x:v>
      </x:c>
      <x:c r="F60" s="3" t="str">
        <x:v>프로필</x:v>
      </x:c>
      <x:c r="G60" s="3" t="str">
        <x:v>닉네임·소개 저장과 복원</x:v>
      </x:c>
      <x:c r="H60" s="3" t="str">
        <x:v>KO·EN</x:v>
      </x:c>
      <x:c r="I60" s="3" t="str">
        <x:v>Android APK</x:v>
      </x:c>
      <x:c r="J60" s="3" t="str">
        <x:v>A 로그인</x:v>
      </x:c>
      <x:c r="K60" s="3" t="str">
        <x:v>1. 내 정보에서 닉네임·소개 변경
2. 저장 확인 후 앱 재실행
3. 다른 계정으로 전환 후 정보 확인</x:v>
      </x:c>
      <x:c r="L60" s="3" t="str">
        <x:v>서버 저장 완료 뒤 성공 안내를 표시한다. A의 정보가 복원되며 B 프로필을 덮어쓰지 않는다.</x:v>
      </x:c>
      <x:c r="M60" s="3" t="str"/>
      <x:c r="N60" s="11" t="str"/>
      <x:c r="O60" s="11" t="str"/>
      <x:c r="P60" s="11" t="str"/>
      <x:c r="Q60" s="12"/>
      <x:c r="R60" s="12"/>
      <x:c r="S60" s="11" t="str"/>
      <x:c r="T60" s="11" t="str"/>
      <x:c r="U60" s="11" t="str"/>
    </x:row>
    <x:row r="61" ht="72" customHeight="1">
      <x:c r="A61" s="3" t="str">
        <x:v>TC-056</x:v>
      </x:c>
      <x:c r="B61" s="3" t="str">
        <x:v>P0</x:v>
      </x:c>
      <x:c r="C61" s="3" t="str">
        <x:v>기능</x:v>
      </x:c>
      <x:c r="D61" s="11" t="str">
        <x:v>미실행</x:v>
      </x:c>
      <x:c r="E61" s="11" t="str">
        <x:v>미실행</x:v>
      </x:c>
      <x:c r="F61" s="3" t="str">
        <x:v>네트워크</x:v>
      </x:c>
      <x:c r="G61" s="3" t="str">
        <x:v>일정 저장 실패·복구</x:v>
      </x:c>
      <x:c r="H61" s="3" t="str">
        <x:v>KO·EN</x:v>
      </x:c>
      <x:c r="I61" s="3" t="str">
        <x:v>Android APK</x:v>
      </x:c>
      <x:c r="J61" s="3" t="str">
        <x:v>A 일정 폼. 네트워크 제어 가능</x:v>
      </x:c>
      <x:c r="K61" s="3" t="str">
        <x:v>1. 네트워크 끄고 일정 저장
2. 실패 안내와 재시도 확인
3. 네트워크 복구 후 한 번 재시도
4. 재실행 후 개수 확인</x:v>
      </x:c>
      <x:c r="L61" s="3" t="str">
        <x:v>실패한 요청은 저장 완료로 표시하지 않는다. 재시도로 한 일정만 저장하고 입력 유실·무한 로딩이 없다.</x:v>
      </x:c>
      <x:c r="M61" s="3" t="str"/>
      <x:c r="N61" s="11" t="str"/>
      <x:c r="O61" s="11" t="str"/>
      <x:c r="P61" s="11" t="str"/>
      <x:c r="Q61" s="12"/>
      <x:c r="R61" s="12"/>
      <x:c r="S61" s="11" t="str"/>
      <x:c r="T61" s="11" t="str"/>
      <x:c r="U61" s="11" t="str"/>
    </x:row>
    <x:row r="62" ht="72" customHeight="1">
      <x:c r="A62" s="3" t="str">
        <x:v>TC-057</x:v>
      </x:c>
      <x:c r="B62" s="3" t="str">
        <x:v>P1</x:v>
      </x:c>
      <x:c r="C62" s="3" t="str">
        <x:v>기능</x:v>
      </x:c>
      <x:c r="D62" s="11" t="str">
        <x:v>미실행</x:v>
      </x:c>
      <x:c r="E62" s="11" t="str">
        <x:v>미실행</x:v>
      </x:c>
      <x:c r="F62" s="3" t="str">
        <x:v>네트워크</x:v>
      </x:c>
      <x:c r="G62" s="3" t="str">
        <x:v>연결 전환과 사진 재조회</x:v>
      </x:c>
      <x:c r="H62" s="3" t="str">
        <x:v>KO·EN</x:v>
      </x:c>
      <x:c r="I62" s="3" t="str">
        <x:v>Android APK</x:v>
      </x:c>
      <x:c r="J62" s="3" t="str">
        <x:v>저장 사진과 로그인 세션. Wi-Fi·모바일 데이터</x:v>
      </x:c>
      <x:c r="K62" s="3" t="str">
        <x:v>1. Wi-Fi에서 여행 열기
2. 모바일 데이터로 전환
3. 1분 이상 후 사진 재조회</x:v>
      </x:c>
      <x:c r="L62" s="3" t="str">
        <x:v>사진 권한 URL을 갱신하며 세션과 여행이 유지된다. 네트워크 실패는 오류/재조회로 처리한다.</x:v>
      </x:c>
      <x:c r="M62" s="3" t="str"/>
      <x:c r="N62" s="11" t="str"/>
      <x:c r="O62" s="11" t="str"/>
      <x:c r="P62" s="11" t="str"/>
      <x:c r="Q62" s="12"/>
      <x:c r="R62" s="12"/>
      <x:c r="S62" s="11" t="str"/>
      <x:c r="T62" s="11" t="str"/>
      <x:c r="U62" s="11" t="str"/>
    </x:row>
    <x:row r="63" ht="72" customHeight="1">
      <x:c r="A63" s="3" t="str">
        <x:v>TC-058</x:v>
      </x:c>
      <x:c r="B63" s="3" t="str">
        <x:v>P1</x:v>
      </x:c>
      <x:c r="C63" s="3" t="str">
        <x:v>기능</x:v>
      </x:c>
      <x:c r="D63" s="11" t="str">
        <x:v>미실행</x:v>
      </x:c>
      <x:c r="E63" s="11" t="str">
        <x:v>미실행</x:v>
      </x:c>
      <x:c r="F63" s="3" t="str">
        <x:v>수명</x:v>
      </x:c>
      <x:c r="G63" s="3" t="str">
        <x:v>저장 중 계정 전환</x:v>
      </x:c>
      <x:c r="H63" s="3" t="str">
        <x:v>KO·EN</x:v>
      </x:c>
      <x:c r="I63" s="3" t="str">
        <x:v>Android APK</x:v>
      </x:c>
      <x:c r="J63" s="3" t="str">
        <x:v>A에서 폼 저장 요청이 지연됨. B 계정 준비
지연 재현은 QA 테스트 네트워크 사용</x:v>
      </x:c>
      <x:c r="K63" s="3" t="str">
        <x:v>1. 저장 또는 사진 등록 중 화면 이탈
2. 로그아웃 후 B 로그인
3. 늦은 A 응답과 B 목록 관찰</x:v>
      </x:c>
      <x:c r="L63" s="3" t="str">
        <x:v>이전 계정의 응답·입력·사진이 B 화면에 적용되지 않는다. 다른 계정으로 중복 저장하지 않는다.</x:v>
      </x:c>
      <x:c r="M63" s="3" t="str"/>
      <x:c r="N63" s="11" t="str"/>
      <x:c r="O63" s="11" t="str"/>
      <x:c r="P63" s="11" t="str"/>
      <x:c r="Q63" s="12"/>
      <x:c r="R63" s="12"/>
      <x:c r="S63" s="11" t="str"/>
      <x:c r="T63" s="11" t="str"/>
      <x:c r="U63" s="11" t="str"/>
    </x:row>
    <x:row r="64" ht="72" customHeight="1">
      <x:c r="A64" s="3" t="str">
        <x:v>TC-059</x:v>
      </x:c>
      <x:c r="B64" s="3" t="str">
        <x:v>P1</x:v>
      </x:c>
      <x:c r="C64" s="3" t="str">
        <x:v>기능</x:v>
      </x:c>
      <x:c r="D64" s="11" t="str">
        <x:v>미실행</x:v>
      </x:c>
      <x:c r="E64" s="11" t="str">
        <x:v>미실행</x:v>
      </x:c>
      <x:c r="F64" s="3" t="str">
        <x:v>사용성</x:v>
      </x:c>
      <x:c r="G64" s="3" t="str">
        <x:v>작은 화면·큰 글꼴·키보드</x:v>
      </x:c>
      <x:c r="H64" s="3" t="str">
        <x:v>KO·EN</x:v>
      </x:c>
      <x:c r="I64" s="3" t="str">
        <x:v>Android APK</x:v>
      </x:c>
      <x:c r="J64" s="3" t="str">
        <x:v>작은 Android 화면 및 글꼴 확대 설정</x:v>
      </x:c>
      <x:c r="K64" s="3" t="str">
        <x:v>1. 로그인·이메일 폼·여행 폼 열기
2. 키보드 표시 상태로 하단 저장·취소
3. 글꼴 확대 후 스크롤</x:v>
      </x:c>
      <x:c r="L64" s="3" t="str">
        <x:v>필수 입력·버튼·오류 문구가 잘리거나 가려지지 않는다. 스크롤로 모든 기능을 사용할 수 있다.</x:v>
      </x:c>
      <x:c r="M64" s="3" t="str"/>
      <x:c r="N64" s="11" t="str"/>
      <x:c r="O64" s="11" t="str"/>
      <x:c r="P64" s="11" t="str"/>
      <x:c r="Q64" s="12"/>
      <x:c r="R64" s="12"/>
      <x:c r="S64" s="11" t="str"/>
      <x:c r="T64" s="11" t="str"/>
      <x:c r="U64" s="11" t="str"/>
    </x:row>
    <x:row r="65" ht="72" customHeight="1">
      <x:c r="A65" s="3" t="str">
        <x:v>TC-060</x:v>
      </x:c>
      <x:c r="B65" s="3" t="str">
        <x:v>P1</x:v>
      </x:c>
      <x:c r="C65" s="3" t="str">
        <x:v>기능</x:v>
      </x:c>
      <x:c r="D65" s="11" t="str">
        <x:v>미실행</x:v>
      </x:c>
      <x:c r="E65" s="11" t="str">
        <x:v>미실행</x:v>
      </x:c>
      <x:c r="F65" s="3" t="str">
        <x:v>사용성</x:v>
      </x:c>
      <x:c r="G65" s="3" t="str">
        <x:v>Android 뒤로 가기와 복귀</x:v>
      </x:c>
      <x:c r="H65" s="3" t="str">
        <x:v>KO·EN</x:v>
      </x:c>
      <x:c r="I65" s="3" t="str">
        <x:v>Android APK</x:v>
      </x:c>
      <x:c r="J65" s="3" t="str">
        <x:v>일정 수정·이메일 모달·카메라·공유 화면</x:v>
      </x:c>
      <x:c r="K65" s="3" t="str">
        <x:v>1. 각 화면에서 시스템 뒤로 가기
2. 취소 후 원래 여행 재진입
3. 원본과 미저장 변경 비교</x:v>
      </x:c>
      <x:c r="L65" s="3" t="str">
        <x:v>예상 화면으로 복귀하고 미저장 변경을 임의 저장하지 않는다. 폼·로딩이 남아 앱을 막지 않는다.</x:v>
      </x:c>
      <x:c r="M65" s="3" t="str"/>
      <x:c r="N65" s="11" t="str"/>
      <x:c r="O65" s="11" t="str"/>
      <x:c r="P65" s="11" t="str"/>
      <x:c r="Q65" s="12"/>
      <x:c r="R65" s="12"/>
      <x:c r="S65" s="11" t="str"/>
      <x:c r="T65" s="11" t="str"/>
      <x:c r="U65" s="11" t="str"/>
    </x:row>
    <x:row r="66" ht="72" customHeight="1">
      <x:c r="A66" s="3" t="str">
        <x:v>TC-061</x:v>
      </x:c>
      <x:c r="B66" s="3" t="str">
        <x:v>P0</x:v>
      </x:c>
      <x:c r="C66" s="3" t="str">
        <x:v>기능</x:v>
      </x:c>
      <x:c r="D66" s="11" t="str">
        <x:v>미실행</x:v>
      </x:c>
      <x:c r="E66" s="11" t="str">
        <x:v>미실행</x:v>
      </x:c>
      <x:c r="F66" s="3" t="str">
        <x:v>권한</x:v>
      </x:c>
      <x:c r="G66" s="3" t="str">
        <x:v>실제 실행 빌드와 릴리즈 일치</x:v>
      </x:c>
      <x:c r="H66" s="3" t="str">
        <x:v>KO·EN</x:v>
      </x:c>
      <x:c r="I66" s="3" t="str">
        <x:v>Android APK + API QA</x:v>
      </x:c>
      <x:c r="J66" s="3" t="str">
        <x:v>이번 소스의 APK와 웹 릴리즈. Build ID·versionCode·커밋은 실행요약에 기록.
웹 test-1-service-copy / 소스 fc38cef. APK Build ID는 실제 실행 시 입력.</x:v>
      </x:c>
      <x:c r="K66" s="3" t="str">
        <x:v>1. APK 설치 버전·빌드 식별자 확인
2. 첫 실행 브랜드·홈·영수증 스캔·로그인 문구 대조
3. 실제 사용한 웹/앱 빌드와 증거 기록</x:v>
      </x:c>
      <x:c r="L66" s="3" t="str">
        <x:v>설치한 APK가 이번 소스를 포함한다. 웹 배포 성공을 APK 업데이트로 간주하지 않는다. 검사한 빌드·기기·언어를 결과와 함께 식별할 수 있다.</x:v>
      </x:c>
      <x:c r="M66" s="3" t="str"/>
      <x:c r="N66" s="11" t="str"/>
      <x:c r="O66" s="11" t="str"/>
      <x:c r="P66" s="11" t="str"/>
      <x:c r="Q66" s="12"/>
      <x:c r="R66" s="12"/>
      <x:c r="S66" s="11" t="str"/>
      <x:c r="T66" s="11" t="str"/>
      <x:c r="U66" s="11" t="str"/>
    </x:row>
    <x:row r="67" ht="72" customHeight="1">
      <x:c r="A67" s="3" t="str">
        <x:v>TC-062</x:v>
      </x:c>
      <x:c r="B67" s="3" t="str">
        <x:v>P1</x:v>
      </x:c>
      <x:c r="C67" s="3" t="str">
        <x:v>기능</x:v>
      </x:c>
      <x:c r="D67" s="11" t="str">
        <x:v>미실행</x:v>
      </x:c>
      <x:c r="E67" s="11" t="str">
        <x:v>미실행</x:v>
      </x:c>
      <x:c r="F67" s="3" t="str">
        <x:v>정리</x:v>
      </x:c>
      <x:c r="G67" s="3" t="str">
        <x:v>테스트 자료 정리</x:v>
      </x:c>
      <x:c r="H67" s="3" t="str">
        <x:v>KO·EN</x:v>
      </x:c>
      <x:c r="I67" s="3" t="str">
        <x:v>Android APK</x:v>
      </x:c>
      <x:c r="J67" s="3" t="str">
        <x:v>위 테스트에서 생성한 TEST1 자료 식별 가능</x:v>
      </x:c>
      <x:c r="K67" s="3" t="str">
        <x:v>1. 테스트 게시글 철회
2. 앱이 허용하는 테스트 사진·영수증·초대 정리
3. 테스트 계정 로그아웃
4. 남은 TEST1 여행 ID만 기록</x:v>
      </x:c>
      <x:c r="L67" s="3" t="str">
        <x:v>테스트 자료와 실제 사용자 자료를 구분한다. 기존 사용자 자료를 전체 초기화하지 않는다. 완전 여행/계정 삭제는 관리자 QA 목록으로 넘긴다.</x:v>
      </x:c>
      <x:c r="M67" s="3" t="str"/>
      <x:c r="N67" s="11" t="str"/>
      <x:c r="O67" s="11" t="str"/>
      <x:c r="P67" s="11" t="str"/>
      <x:c r="Q67" s="12"/>
      <x:c r="R67" s="12"/>
      <x:c r="S67" s="11" t="str"/>
      <x:c r="T67" s="11" t="str"/>
      <x:c r="U67" s="11" t="str"/>
    </x:row>
    <x:row r="68" ht="72" customHeight="1">
      <x:c r="A68" s="3" t="str">
        <x:v>TC-063</x:v>
      </x:c>
      <x:c r="B68" s="3" t="str">
        <x:v>P0</x:v>
      </x:c>
      <x:c r="C68" s="3" t="str">
        <x:v>기능</x:v>
      </x:c>
      <x:c r="D68" s="11" t="str">
        <x:v>미실행</x:v>
      </x:c>
      <x:c r="E68" s="11" t="str">
        <x:v>미실행</x:v>
      </x:c>
      <x:c r="F68" s="3" t="str">
        <x:v>영수증</x:v>
      </x:c>
      <x:c r="G68" s="3" t="str">
        <x:v>8MB 사진 자동 압축 후 스캔</x:v>
      </x:c>
      <x:c r="H68" s="3" t="str">
        <x:v>KO·EN</x:v>
      </x:c>
      <x:c r="I68" s="3" t="str">
        <x:v>Android APK·웹</x:v>
      </x:c>
      <x:c r="J68" s="3" t="str">
        <x:v>TD-03 실제 8MB PNG와 A 여행
TD-03. 원본 크기·전송 크기·인식 결과 기록.</x:v>
      </x:c>
      <x:c r="K68" s="3" t="str">
        <x:v>1. 큰 영수증 사진 선택
2. 압축·업로드·스캔 완료 확인
3. 내용 확인 후 등록</x:v>
      </x:c>
      <x:c r="L68" s="3" t="str">
        <x:v>선택 원본이 커도 앱이 지원하는 이미지 압축을 수행한다. 실제 전송은 허용 한도 내이고 읽을 수 있는 사진으로 인식·등록한다. 원본 크기만 보고 사용자에게 재입력을 요구하지 않는다.</x:v>
      </x:c>
      <x:c r="M68" s="3" t="str">
        <x:v>RECEIPT.LOADING</x:v>
      </x:c>
      <x:c r="N68" s="11" t="str"/>
      <x:c r="O68" s="11" t="str"/>
      <x:c r="P68" s="11" t="str"/>
      <x:c r="Q68" s="12"/>
      <x:c r="R68" s="12"/>
      <x:c r="S68" s="11" t="str"/>
      <x:c r="T68" s="11" t="str"/>
      <x:c r="U68" s="11" t="str"/>
    </x:row>
    <x:row r="69" ht="72" customHeight="1">
      <x:c r="A69" s="3" t="str">
        <x:v>TC-064</x:v>
      </x:c>
      <x:c r="B69" s="3" t="str">
        <x:v>P0</x:v>
      </x:c>
      <x:c r="C69" s="3" t="str">
        <x:v>기능</x:v>
      </x:c>
      <x:c r="D69" s="11" t="str">
        <x:v>미실행</x:v>
      </x:c>
      <x:c r="E69" s="11" t="str">
        <x:v>미실행</x:v>
      </x:c>
      <x:c r="F69" s="3" t="str">
        <x:v>영수증</x:v>
      </x:c>
      <x:c r="G69" s="3" t="str">
        <x:v>스캔 실패 후 재스캔과 사진 변경</x:v>
      </x:c>
      <x:c r="H69" s="3" t="str">
        <x:v>KO·EN</x:v>
      </x:c>
      <x:c r="I69" s="3" t="str">
        <x:v>Android APK·웹</x:v>
      </x:c>
      <x:c r="J69" s="3" t="str">
        <x:v>읽기 실패·서비스 장애를 통제된 환경에서 재현
TD-05 흐린 사진. 정상 TD-02로 복구.</x:v>
      </x:c>
      <x:c r="K69" s="3" t="str">
        <x:v>1. 읽기 실패 확인
2. 같은 사진 다시 스캔
3. 다른 사진 선택 후 재스캔
4. 사용자가 직접 입력 경로를 선택</x:v>
      </x:c>
      <x:c r="L69" s="3" t="str">
        <x:v>원본·여행 선택을 유지한다. 실패를 완료로 표시하지 않고 재스캔·다른 사진 선택을 제공한다. 수동 입력은 사용자가 선택한 대안이며 최초 기본 흐름이 아니다.</x:v>
      </x:c>
      <x:c r="M69" s="3" t="str">
        <x:v>RECEIPT.ERROR,RECEIPT.RETRY,RECEIPT.OTHER,RECEIPT.MANUAL</x:v>
      </x:c>
      <x:c r="N69" s="11" t="str"/>
      <x:c r="O69" s="11" t="str"/>
      <x:c r="P69" s="11" t="str"/>
      <x:c r="Q69" s="12"/>
      <x:c r="R69" s="12"/>
      <x:c r="S69" s="11" t="str"/>
      <x:c r="T69" s="11" t="str"/>
      <x:c r="U69" s="11" t="str"/>
    </x:row>
    <x:row r="70" ht="72" customHeight="1">
      <x:c r="A70" s="3" t="str">
        <x:v>TC-065</x:v>
      </x:c>
      <x:c r="B70" s="3" t="str">
        <x:v>P0</x:v>
      </x:c>
      <x:c r="C70" s="3" t="str">
        <x:v>기능</x:v>
      </x:c>
      <x:c r="D70" s="11" t="str">
        <x:v>미실행</x:v>
      </x:c>
      <x:c r="E70" s="11" t="str">
        <x:v>미실행</x:v>
      </x:c>
      <x:c r="F70" s="3" t="str">
        <x:v>영수증</x:v>
      </x:c>
      <x:c r="G70" s="3" t="str">
        <x:v>여행 기간 밖 결제 날짜</x:v>
      </x:c>
      <x:c r="H70" s="3" t="str">
        <x:v>KO·EN</x:v>
      </x:c>
      <x:c r="I70" s="3" t="str">
        <x:v>Android APK·웹</x:v>
      </x:c>
      <x:c r="J70" s="3" t="str">
        <x:v>TD-02 후보. 여행은 9/26~28
기간 밖 날짜를 범위 안으로 자동 바꾸지 않음.</x:v>
      </x:c>
      <x:c r="K70" s="3" t="str">
        <x:v>1. 결제일을 9/29로 변경
2. 등록 시도
3. 실제 결제일을 9/28로 복원 후 등록</x:v>
      </x:c>
      <x:c r="L70" s="3" t="str">
        <x:v>기간 밖 날짜를 임의 DAY에 저장하지 않는다. 날짜·여행을 확인하도록 안내하며 정상 수정 후 DAY3에 한 번 저장한다.</x:v>
      </x:c>
      <x:c r="M70" s="3" t="str">
        <x:v>RECEIPT.DAY_MISMATCH</x:v>
      </x:c>
      <x:c r="N70" s="11" t="str"/>
      <x:c r="O70" s="11" t="str"/>
      <x:c r="P70" s="11" t="str"/>
      <x:c r="Q70" s="12"/>
      <x:c r="R70" s="12"/>
      <x:c r="S70" s="11" t="str"/>
      <x:c r="T70" s="11" t="str"/>
      <x:c r="U70" s="11" t="str"/>
    </x:row>
    <x:row r="71" ht="72" customHeight="1">
      <x:c r="A71" s="3" t="str">
        <x:v>TC-066</x:v>
      </x:c>
      <x:c r="B71" s="3" t="str">
        <x:v>P1</x:v>
      </x:c>
      <x:c r="C71" s="3" t="str">
        <x:v>기능</x:v>
      </x:c>
      <x:c r="D71" s="11" t="str">
        <x:v>미실행</x:v>
      </x:c>
      <x:c r="E71" s="11" t="str">
        <x:v>미실행</x:v>
      </x:c>
      <x:c r="F71" s="3" t="str">
        <x:v>영수증</x:v>
      </x:c>
      <x:c r="G71" s="3" t="str">
        <x:v>일부만 읽힌 후보 확인</x:v>
      </x:c>
      <x:c r="H71" s="3" t="str">
        <x:v>KO·EN</x:v>
      </x:c>
      <x:c r="I71" s="3" t="str">
        <x:v>Android APK·웹</x:v>
      </x:c>
      <x:c r="J71" s="3" t="str">
        <x:v>상호 또는 날짜·금액·메뉴가 흐린 영수증
TD-05. 판독 누락과 값 0을 구별.</x:v>
      </x:c>
      <x:c r="K71" s="3" t="str">
        <x:v>1. 사진 스캔
2. 누락 후보와 원본 비교
3. 확인할 항목만 보완
4. 등록</x:v>
      </x:c>
      <x:c r="L71" s="3" t="str">
        <x:v>읽지 못한 값은 확인 필요로 표시한다. 상호·주소·날짜·금액을 지어내지 않는다. 정상 인식 값은 유지하고 확인한 내용만 저장한다.</x:v>
      </x:c>
      <x:c r="M71" s="3" t="str">
        <x:v>RECEIPT.MERCHANT_MISSING,RECEIPT.AMOUNT_MISSING</x:v>
      </x:c>
      <x:c r="N71" s="11" t="str"/>
      <x:c r="O71" s="11" t="str"/>
      <x:c r="P71" s="11" t="str"/>
      <x:c r="Q71" s="12"/>
      <x:c r="R71" s="12"/>
      <x:c r="S71" s="11" t="str"/>
      <x:c r="T71" s="11" t="str"/>
      <x:c r="U71" s="11" t="str"/>
    </x:row>
    <x:row r="72" ht="72" customHeight="1">
      <x:c r="A72" s="3" t="str">
        <x:v>TC-067</x:v>
      </x:c>
      <x:c r="B72" s="3" t="str">
        <x:v>P1</x:v>
      </x:c>
      <x:c r="C72" s="3" t="str">
        <x:v>기능</x:v>
      </x:c>
      <x:c r="D72" s="11" t="str">
        <x:v>미실행</x:v>
      </x:c>
      <x:c r="E72" s="11" t="str">
        <x:v>미실행</x:v>
      </x:c>
      <x:c r="F72" s="3" t="str">
        <x:v>영수증</x:v>
      </x:c>
      <x:c r="G72" s="3" t="str">
        <x:v>메뉴명·수량·단가 오독 수정</x:v>
      </x:c>
      <x:c r="H72" s="3" t="str">
        <x:v>KO·EN</x:v>
      </x:c>
      <x:c r="I72" s="3" t="str">
        <x:v>Android APK·웹</x:v>
      </x:c>
      <x:c r="J72" s="3" t="str">
        <x:v>TC-032 후보
TD-02. 3개 메뉴 1250+600+600=2450 JPY.</x:v>
      </x:c>
      <x:c r="K72" s="3" t="str">
        <x:v>1. 원본과 메뉴 비교
2. 틀린 메뉴명 하나와 수량·단가 수정
3. 합계 확인 후 등록
4. 기록 재조회</x:v>
      </x:c>
      <x:c r="L72" s="3" t="str">
        <x:v>수정한 항목이 저장되고 다른 메뉴·원본 사진·결제 합계가 임의 변경되지 않는다. 메뉴 합계가 결제 합계와 다르면 사용자 확인을 요구한다.</x:v>
      </x:c>
      <x:c r="M72" s="3" t="str">
        <x:v>RECEIPT.ITEMS,RECEIPT.EDIT</x:v>
      </x:c>
      <x:c r="N72" s="11" t="str"/>
      <x:c r="O72" s="11" t="str"/>
      <x:c r="P72" s="11" t="str"/>
      <x:c r="Q72" s="12"/>
      <x:c r="R72" s="12"/>
      <x:c r="S72" s="11" t="str"/>
      <x:c r="T72" s="11" t="str"/>
      <x:c r="U72" s="11" t="str"/>
    </x:row>
    <x:row r="73" ht="72" customHeight="1">
      <x:c r="A73" s="3" t="str">
        <x:v>TC-068</x:v>
      </x:c>
      <x:c r="B73" s="3" t="str">
        <x:v>P0</x:v>
      </x:c>
      <x:c r="C73" s="3" t="str">
        <x:v>기능</x:v>
      </x:c>
      <x:c r="D73" s="11" t="str">
        <x:v>미실행</x:v>
      </x:c>
      <x:c r="E73" s="11" t="str">
        <x:v>미실행</x:v>
      </x:c>
      <x:c r="F73" s="3" t="str">
        <x:v>영수증</x:v>
      </x:c>
      <x:c r="G73" s="3" t="str">
        <x:v>입점 시간·세금·거스름돈 구별</x:v>
      </x:c>
      <x:c r="H73" s="3" t="str">
        <x:v>KO·EN</x:v>
      </x:c>
      <x:c r="I73" s="3" t="str">
        <x:v>Android APK·웹</x:v>
      </x:c>
      <x:c r="J73" s="3" t="str">
        <x:v>TD-02 원본
TD-02. 인식 정확도는 실제 후보 기준으로 기록.</x:v>
      </x:c>
      <x:c r="K73" s="3" t="str">
        <x:v>1. 사진 스캔
2. 결제일·시간·합계 확인
3. 입점·소계·세금·받은 돈·거스름돈 대조</x:v>
      </x:c>
      <x:c r="L73" s="3" t="str">
        <x:v>결제 시각은 16:36이고 입점 13:50로 대체하지 않는다. 지출 합계는 JPY 2450이다. 내세금 222를 중복 가산하거나 거스름돈 0을 총액으로 읽지 않는다.</x:v>
      </x:c>
      <x:c r="M73" s="3" t="str"/>
      <x:c r="N73" s="11" t="str"/>
      <x:c r="O73" s="11" t="str"/>
      <x:c r="P73" s="11" t="str"/>
      <x:c r="Q73" s="12"/>
      <x:c r="R73" s="12"/>
      <x:c r="S73" s="11" t="str"/>
      <x:c r="T73" s="11" t="str"/>
      <x:c r="U73" s="11" t="str"/>
    </x:row>
    <x:row r="74" ht="72" customHeight="1">
      <x:c r="A74" s="3" t="str">
        <x:v>TC-069</x:v>
      </x:c>
      <x:c r="B74" s="3" t="str">
        <x:v>P1</x:v>
      </x:c>
      <x:c r="C74" s="3" t="str">
        <x:v>기능</x:v>
      </x:c>
      <x:c r="D74" s="11" t="str">
        <x:v>미실행</x:v>
      </x:c>
      <x:c r="E74" s="11" t="str">
        <x:v>미실행</x:v>
      </x:c>
      <x:c r="F74" s="3" t="str">
        <x:v>영수증</x:v>
      </x:c>
      <x:c r="G74" s="3" t="str">
        <x:v>결제 날짜·시간 수정 검증</x:v>
      </x:c>
      <x:c r="H74" s="3" t="str">
        <x:v>KO·EN</x:v>
      </x:c>
      <x:c r="I74" s="3" t="str">
        <x:v>Android APK·웹</x:v>
      </x:c>
      <x:c r="J74" s="3" t="str">
        <x:v>영수증 인식 내용 수정 상태
TD-02. 실제 결제 날짜·시간과 기기 현재 날짜를 구별.</x:v>
      </x:c>
      <x:c r="K74" s="3" t="str">
        <x:v>1. 결제 날짜·시간 수정
2. 불가능한 날짜·24:60 입력 시도
3. 정상 값으로 복원 후 등록</x:v>
      </x:c>
      <x:c r="L74" s="3" t="str">
        <x:v>유효한 결제 날짜와 시간만 저장한다. DAY를 결제일에 맞춰 다시 연결하며 잘못된 값으로 저장하지 않는다.</x:v>
      </x:c>
      <x:c r="M74" s="3" t="str"/>
      <x:c r="N74" s="11" t="str"/>
      <x:c r="O74" s="11" t="str"/>
      <x:c r="P74" s="11" t="str"/>
      <x:c r="Q74" s="12"/>
      <x:c r="R74" s="12"/>
      <x:c r="S74" s="11" t="str"/>
      <x:c r="T74" s="11" t="str"/>
      <x:c r="U74" s="11" t="str"/>
    </x:row>
    <x:row r="75" ht="72" customHeight="1">
      <x:c r="A75" s="3" t="str">
        <x:v>TC-070</x:v>
      </x:c>
      <x:c r="B75" s="3" t="str">
        <x:v>P1</x:v>
      </x:c>
      <x:c r="C75" s="3" t="str">
        <x:v>기능</x:v>
      </x:c>
      <x:c r="D75" s="11" t="str">
        <x:v>미실행</x:v>
      </x:c>
      <x:c r="E75" s="11" t="str">
        <x:v>미실행</x:v>
      </x:c>
      <x:c r="F75" s="3" t="str">
        <x:v>영수증</x:v>
      </x:c>
      <x:c r="G75" s="3" t="str">
        <x:v>스캔 중 취소와 다시 진입</x:v>
      </x:c>
      <x:c r="H75" s="3" t="str">
        <x:v>KO·EN</x:v>
      </x:c>
      <x:c r="I75" s="3" t="str">
        <x:v>Android APK·웹</x:v>
      </x:c>
      <x:c r="J75" s="3" t="str">
        <x:v>미등록 사진 스캔 요청 지연</x:v>
      </x:c>
      <x:c r="K75" s="3" t="str">
        <x:v>1. 스캔 중 닫기 또는 뒤로가기
2. 다른 여행 열기
3. 늦은 결과 후 첫 여행 재조회</x:v>
      </x:c>
      <x:c r="L75" s="3" t="str">
        <x:v>취소한 후보를 다른 여행에 적용하지 않는다. 확인 없이 기록·지출을 생성하지 않는다. 다시 촬영·선택할 수 있다.</x:v>
      </x:c>
      <x:c r="M75" s="3" t="str"/>
      <x:c r="N75" s="11" t="str"/>
      <x:c r="O75" s="11" t="str"/>
      <x:c r="P75" s="11" t="str"/>
      <x:c r="Q75" s="12"/>
      <x:c r="R75" s="12"/>
      <x:c r="S75" s="11" t="str"/>
      <x:c r="T75" s="11" t="str"/>
      <x:c r="U75" s="11" t="str"/>
    </x:row>
    <x:row r="76" ht="72" customHeight="1">
      <x:c r="A76" s="3" t="str">
        <x:v>TC-071</x:v>
      </x:c>
      <x:c r="B76" s="3" t="str">
        <x:v>P1</x:v>
      </x:c>
      <x:c r="C76" s="3" t="str">
        <x:v>기능</x:v>
      </x:c>
      <x:c r="D76" s="11" t="str">
        <x:v>미실행</x:v>
      </x:c>
      <x:c r="E76" s="11" t="str">
        <x:v>미실행</x:v>
      </x:c>
      <x:c r="F76" s="3" t="str">
        <x:v>영수증</x:v>
      </x:c>
      <x:c r="G76" s="3" t="str">
        <x:v>사용 한도 안내와 다음 행동</x:v>
      </x:c>
      <x:c r="H76" s="3" t="str">
        <x:v>KO·EN</x:v>
      </x:c>
      <x:c r="I76" s="3" t="str">
        <x:v>Android APK·웹</x:v>
      </x:c>
      <x:c r="J76" s="3" t="str">
        <x:v>테스트 계정으로 스캔 제한 응답 재현
실제 사용자 계정의 한도를 소진하지 말고 통제된 QA 응답으로 재현.</x:v>
      </x:c>
      <x:c r="K76" s="3" t="str">
        <x:v>1. 스캔 요청
2. 제한 안내와 원본 유지 확인
3. 재시도 가능 시점 또는 직접 입력 선택</x:v>
      </x:c>
      <x:c r="L76" s="3" t="str">
        <x:v>한도·잠시 후 재시도 안내를 사용자 언어로 표시한다. 원본 보관 여부를 실제 상태와 맞게 안내하고 실패를 등록 성공으로 표시하지 않는다.</x:v>
      </x:c>
      <x:c r="M76" s="3" t="str"/>
      <x:c r="N76" s="11" t="str"/>
      <x:c r="O76" s="11" t="str"/>
      <x:c r="P76" s="11" t="str"/>
      <x:c r="Q76" s="12"/>
      <x:c r="R76" s="12"/>
      <x:c r="S76" s="11" t="str"/>
      <x:c r="T76" s="11" t="str"/>
      <x:c r="U76" s="11" t="str"/>
    </x:row>
    <x:row r="77" ht="81" customHeight="1">
      <x:c r="A77" s="3" t="str">
        <x:v>TC-072</x:v>
      </x:c>
      <x:c r="B77" s="3" t="str">
        <x:v>P0</x:v>
      </x:c>
      <x:c r="C77" s="3" t="str">
        <x:v>기능</x:v>
      </x:c>
      <x:c r="D77" s="11" t="str">
        <x:v>미실행</x:v>
      </x:c>
      <x:c r="E77" s="11" t="str">
        <x:v>미실행</x:v>
      </x:c>
      <x:c r="F77" s="3" t="str">
        <x:v>홈</x:v>
      </x:c>
      <x:c r="G77" s="3" t="str">
        <x:v>처음 온 사용자의 첫 여행 시작</x:v>
      </x:c>
      <x:c r="H77" s="3" t="str">
        <x:v>KO·EN</x:v>
      </x:c>
      <x:c r="I77" s="3" t="str">
        <x:v>Android APK·웹</x:v>
      </x:c>
      <x:c r="J77" s="3" t="str">
        <x:v>신규 설치·로그아웃·여행 0개
첫 방문·여행 0개·인증 복원 대기를 각각 검사.</x:v>
      </x:c>
      <x:c r="K77" s="3" t="str">
        <x:v>1. 홈 첫 화면 확인
2. 도쿄 선택
3. 새 여행 시작
4. 이메일 로그인 완료
5. 여행 날짜 선택·저장</x:v>
      </x:c>
      <x:c r="L77" s="3" t="str">
        <x:v>첫 화면에서 목적과 시작 행동을 알 수 있다. 선택한 도쿄가 로그인 후에도 이어지고 여행을 만들 수 있다. 예시 콘텐츠는 실제 내 기록으로 표시하지 않는다.</x:v>
      </x:c>
      <x:c r="M77" s="3" t="str">
        <x:v>HOME.START,HOME.EXAMPLE</x:v>
      </x:c>
      <x:c r="N77" s="11" t="str"/>
      <x:c r="O77" s="11" t="str"/>
      <x:c r="P77" s="11" t="str"/>
      <x:c r="Q77" s="12"/>
      <x:c r="R77" s="12"/>
      <x:c r="S77" s="11" t="str"/>
      <x:c r="T77" s="11" t="str"/>
      <x:c r="U77" s="11" t="str"/>
    </x:row>
    <x:row r="78" ht="72" customHeight="1">
      <x:c r="A78" s="3" t="str">
        <x:v>TC-073</x:v>
      </x:c>
      <x:c r="B78" s="3" t="str">
        <x:v>P1</x:v>
      </x:c>
      <x:c r="C78" s="3" t="str">
        <x:v>기능</x:v>
      </x:c>
      <x:c r="D78" s="11" t="str">
        <x:v>미실행</x:v>
      </x:c>
      <x:c r="E78" s="11" t="str">
        <x:v>미실행</x:v>
      </x:c>
      <x:c r="F78" s="3" t="str">
        <x:v>여행</x:v>
      </x:c>
      <x:c r="G78" s="3" t="str">
        <x:v>항공편 없이 여행 생성</x:v>
      </x:c>
      <x:c r="H78" s="3" t="str">
        <x:v>KO·EN</x:v>
      </x:c>
      <x:c r="I78" s="3" t="str">
        <x:v>Android APK·웹</x:v>
      </x:c>
      <x:c r="J78" s="3" t="str">
        <x:v>A 로그인
TD-01.</x:v>
      </x:c>
      <x:c r="K78" s="3" t="str">
        <x:v>1. 목적지·여행 기간 입력
2. 항공편 추가하지 않고 저장
3. 날짜별 일정 추가</x:v>
      </x:c>
      <x:c r="L78" s="3" t="str">
        <x:v>항공편이 없어도 여행·DAY를 만든다. 이후 장소·숙소·이동을 기록할 수 있다. 항공은 선택 항목으로 안내한다.</x:v>
      </x:c>
      <x:c r="M78" s="3" t="str">
        <x:v>TRIP.FLIGHT_OPTIONAL</x:v>
      </x:c>
      <x:c r="N78" s="11" t="str"/>
      <x:c r="O78" s="11" t="str"/>
      <x:c r="P78" s="11" t="str"/>
      <x:c r="Q78" s="12"/>
      <x:c r="R78" s="12"/>
      <x:c r="S78" s="11" t="str"/>
      <x:c r="T78" s="11" t="str"/>
      <x:c r="U78" s="11" t="str"/>
    </x:row>
    <x:row r="79" ht="72" customHeight="1">
      <x:c r="A79" s="3" t="str">
        <x:v>TC-074</x:v>
      </x:c>
      <x:c r="B79" s="3" t="str">
        <x:v>P1</x:v>
      </x:c>
      <x:c r="C79" s="3" t="str">
        <x:v>기능</x:v>
      </x:c>
      <x:c r="D79" s="11" t="str">
        <x:v>미실행</x:v>
      </x:c>
      <x:c r="E79" s="11" t="str">
        <x:v>미실행</x:v>
      </x:c>
      <x:c r="F79" s="3" t="str">
        <x:v>여행</x:v>
      </x:c>
      <x:c r="G79" s="3" t="str">
        <x:v>항공 도착지와 달력 입력</x:v>
      </x:c>
      <x:c r="H79" s="3" t="str">
        <x:v>KO·EN</x:v>
      </x:c>
      <x:c r="I79" s="3" t="str">
        <x:v>Android APK·웹</x:v>
      </x:c>
      <x:c r="J79" s="3" t="str">
        <x:v>A 새 여행 화면
ICN→KIX / 일본·오사카.</x:v>
      </x:c>
      <x:c r="K79" s="3" t="str">
        <x:v>1. 항공편과 도착 공항 선택
2. 도착 나라·도시 반영 확인
3. 달력 날짜 선택 후 저장</x:v>
      </x:c>
      <x:c r="L79" s="3" t="str">
        <x:v>선택한 공항의 나라·도시가 반영된다. 사람이 입력한 수정값을 의도 없이 덮어쓰지 않고 올바른 기간의 DAY를 만든다.</x:v>
      </x:c>
      <x:c r="M79" s="3" t="str"/>
      <x:c r="N79" s="11" t="str"/>
      <x:c r="O79" s="11" t="str"/>
      <x:c r="P79" s="11" t="str"/>
      <x:c r="Q79" s="12"/>
      <x:c r="R79" s="12"/>
      <x:c r="S79" s="11" t="str"/>
      <x:c r="T79" s="11" t="str"/>
      <x:c r="U79" s="11" t="str"/>
    </x:row>
    <x:row r="80" ht="72" customHeight="1">
      <x:c r="A80" s="3" t="str">
        <x:v>TC-075</x:v>
      </x:c>
      <x:c r="B80" s="3" t="str">
        <x:v>P1</x:v>
      </x:c>
      <x:c r="C80" s="3" t="str">
        <x:v>기능</x:v>
      </x:c>
      <x:c r="D80" s="11" t="str">
        <x:v>미실행</x:v>
      </x:c>
      <x:c r="E80" s="11" t="str">
        <x:v>미실행</x:v>
      </x:c>
      <x:c r="F80" s="3" t="str">
        <x:v>하루</x:v>
      </x:c>
      <x:c r="G80" s="3" t="str">
        <x:v>조회 실패·빈 기록·없는 주소 복구</x:v>
      </x:c>
      <x:c r="H80" s="3" t="str">
        <x:v>KO·EN</x:v>
      </x:c>
      <x:c r="I80" s="3" t="str">
        <x:v>Android APK·웹</x:v>
      </x:c>
      <x:c r="J80" s="3" t="str">
        <x:v>로그아웃 또는 A. 공개 조회 실패와 빈 응답을 각각 재현
ND-01 느린 네트워크.</x:v>
      </x:c>
      <x:c r="K80" s="3" t="str">
        <x:v>1. 커뮤니티 실패에서 다시 불러오기
2. 빈 기록에서 홈으로 이동
3. 없는 주소에서 홈으로 돌아가기</x:v>
      </x:c>
      <x:c r="L80" s="3" t="str">
        <x:v>상태에 맞는 하루·설명·다음 행동을 제공한다. 오류를 빈 목록으로 감추지 않으며 이미지가 일부만 잘리거나 로딩이 끝없이 지속되지 않는다.</x:v>
      </x:c>
      <x:c r="M80" s="3" t="str">
        <x:v>HARU.RELOAD,HARU.HOME</x:v>
      </x:c>
      <x:c r="N80" s="11" t="str"/>
      <x:c r="O80" s="11" t="str"/>
      <x:c r="P80" s="11" t="str"/>
      <x:c r="Q80" s="12"/>
      <x:c r="R80" s="12"/>
      <x:c r="S80" s="11" t="str"/>
      <x:c r="T80" s="11" t="str"/>
      <x:c r="U80" s="11" t="str"/>
    </x:row>
    <x:row r="81" ht="72" customHeight="1">
      <x:c r="A81" s="3" t="str">
        <x:v>TC-076</x:v>
      </x:c>
      <x:c r="B81" s="3" t="str">
        <x:v>P0</x:v>
      </x:c>
      <x:c r="C81" s="3" t="str">
        <x:v>기능</x:v>
      </x:c>
      <x:c r="D81" s="11" t="str">
        <x:v>미실행</x:v>
      </x:c>
      <x:c r="E81" s="11" t="str">
        <x:v>미실행</x:v>
      </x:c>
      <x:c r="F81" s="3" t="str">
        <x:v>인증</x:v>
      </x:c>
      <x:c r="G81" s="3" t="str">
        <x:v>초대·공유 의도를 지닌 로그인 복귀</x:v>
      </x:c>
      <x:c r="H81" s="3" t="str">
        <x:v>KO·EN</x:v>
      </x:c>
      <x:c r="I81" s="3" t="str">
        <x:v>Android APK·웹</x:v>
      </x:c>
      <x:c r="J81" s="3" t="str">
        <x:v>서로 다른 링크를 A와 B의 별도 회차로 준비
TD-04. 초대 토큰·개인정보는 증거에서 가림.</x:v>
      </x:c>
      <x:c r="K81" s="3" t="str">
        <x:v>1. 초대 링크 또는 지도 장소 공유 열기
2. 로그인 진행
3. 원래 목적과 후보 복원
4. 다른 계정으로 전환 후 재검사</x:v>
      </x:c>
      <x:c r="L81" s="3" t="str">
        <x:v>로그인 후 원래 초대·장소 후보로 이어진다. 사용자 확인 없이 참여·등록하지 않는다. A의 요청과 비공개 기록을 B에게 적용하지 않는다.</x:v>
      </x:c>
      <x:c r="M81" s="3" t="str">
        <x:v>INVITE.JOIN,MAP.IMPORT</x:v>
      </x:c>
      <x:c r="N81" s="11" t="str"/>
      <x:c r="O81" s="11" t="str"/>
      <x:c r="P81" s="11" t="str"/>
      <x:c r="Q81" s="12"/>
      <x:c r="R81" s="12"/>
      <x:c r="S81" s="11" t="str"/>
      <x:c r="T81" s="11" t="str"/>
      <x:c r="U81" s="11" t="str"/>
    </x:row>
    <x:row r="82" ht="72" customHeight="1">
      <x:c r="A82" s="3" t="str">
        <x:v>TXT-001</x:v>
      </x:c>
      <x:c r="B82" s="3" t="str">
        <x:v>P0</x:v>
      </x:c>
      <x:c r="C82" s="3" t="str">
        <x:v>문구</x:v>
      </x:c>
      <x:c r="D82" s="11" t="str">
        <x:v>미실행</x:v>
      </x:c>
      <x:c r="E82" s="11" t="str">
        <x:v>미실행</x:v>
      </x:c>
      <x:c r="F82" s="3" t="str">
        <x:v>전체 화면</x:v>
      </x:c>
      <x:c r="G82" s="3" t="str">
        <x:v>내부 개발 설명 제거</x:v>
      </x:c>
      <x:c r="H82" s="3" t="str">
        <x:v>KO·EN</x:v>
      </x:c>
      <x:c r="I82" s="3" t="str">
        <x:v>Android APK·웹</x:v>
      </x:c>
      <x:c r="J82" s="3" t="str">
        <x:v>한국어 화면은 현재 빌드. 영문 화면은 언어 기능 적용 빌드에서 별도 실행.
전체 문구 기준</x:v>
      </x:c>
      <x:c r="K82" s="3" t="str">
        <x:v>1. 39개 화면과 오류·모달·로딩을 모두 열기
2. 본문·버튼·토스트·접근성 읽기 확인</x:v>
      </x:c>
      <x:c r="L82" s="3" t="str">
        <x:v>DB·API·세션·공급자 설정·연결 준비·관리자 키·HTTP 번호·내부 경로가 고객 안내에 노출되지 않는다. 공항 코드·Google Maps 출처 등 사용자에게 필요한 정보는 유지한다.</x:v>
      </x:c>
      <x:c r="M82" s="3" t="str">
        <x:v>전체 문구 기준</x:v>
      </x:c>
      <x:c r="N82" s="11" t="str"/>
      <x:c r="O82" s="11" t="str"/>
      <x:c r="P82" s="11" t="str"/>
      <x:c r="Q82" s="12"/>
      <x:c r="R82" s="12"/>
      <x:c r="S82" s="11" t="str"/>
      <x:c r="T82" s="11" t="str"/>
      <x:c r="U82" s="11" t="str"/>
    </x:row>
    <x:row r="83" ht="72" customHeight="1">
      <x:c r="A83" s="3" t="str">
        <x:v>TXT-002</x:v>
      </x:c>
      <x:c r="B83" s="3" t="str">
        <x:v>P0</x:v>
      </x:c>
      <x:c r="C83" s="3" t="str">
        <x:v>문구</x:v>
      </x:c>
      <x:c r="D83" s="11" t="str">
        <x:v>미실행</x:v>
      </x:c>
      <x:c r="E83" s="11" t="str">
        <x:v>미실행</x:v>
      </x:c>
      <x:c r="F83" s="3" t="str">
        <x:v>로그인</x:v>
      </x:c>
      <x:c r="G83" s="3" t="str">
        <x:v>실제 가능한 로그인 안내</x:v>
      </x:c>
      <x:c r="H83" s="3" t="str">
        <x:v>KO·EN</x:v>
      </x:c>
      <x:c r="I83" s="3" t="str">
        <x:v>Android APK·웹</x:v>
      </x:c>
      <x:c r="J83" s="3" t="str">
        <x:v>한국어 화면은 현재 빌드. 영문 화면은 언어 기능 적용 빌드에서 별도 실행.
AUTH.CONTINUE,AUTH.GUEST,AUTH.RECOVERY</x:v>
      </x:c>
      <x:c r="K83" s="3" t="str">
        <x:v>1. 로그아웃 화면 읽기
2. 제공 버튼 선택
3. 로그인 실패 후 복귀</x:v>
      </x:c>
      <x:c r="L83" s="3" t="str">
        <x:v>실제 제공하는 이메일 로그인·회원가입을 안내한다. 소셜 준비·가짜 성공·현재 없는 버튼을 문구로 약속하지 않는다.</x:v>
      </x:c>
      <x:c r="M83" s="3" t="str">
        <x:v>AUTH.CONTINUE,AUTH.GUEST,AUTH.RECOVERY</x:v>
      </x:c>
      <x:c r="N83" s="11" t="str"/>
      <x:c r="O83" s="11" t="str"/>
      <x:c r="P83" s="11" t="str"/>
      <x:c r="Q83" s="12"/>
      <x:c r="R83" s="12"/>
      <x:c r="S83" s="11" t="str"/>
      <x:c r="T83" s="11" t="str"/>
      <x:c r="U83" s="11" t="str"/>
    </x:row>
    <x:row r="84" ht="72" customHeight="1">
      <x:c r="A84" s="3" t="str">
        <x:v>TXT-003</x:v>
      </x:c>
      <x:c r="B84" s="3" t="str">
        <x:v>P0</x:v>
      </x:c>
      <x:c r="C84" s="3" t="str">
        <x:v>문구</x:v>
      </x:c>
      <x:c r="D84" s="11" t="str">
        <x:v>미실행</x:v>
      </x:c>
      <x:c r="E84" s="11" t="str">
        <x:v>미실행</x:v>
      </x:c>
      <x:c r="F84" s="3" t="str">
        <x:v>첫 방문 홈</x:v>
      </x:c>
      <x:c r="G84" s="3" t="str">
        <x:v>첫 화면 목적과 시작 행동</x:v>
      </x:c>
      <x:c r="H84" s="3" t="str">
        <x:v>KO·EN</x:v>
      </x:c>
      <x:c r="I84" s="3" t="str">
        <x:v>Android APK·웹</x:v>
      </x:c>
      <x:c r="J84" s="3" t="str">
        <x:v>한국어 화면은 현재 빌드. 영문 화면은 언어 기능 적용 빌드에서 별도 실행.
HOME.START,HOME.EXAMPLE</x:v>
      </x:c>
      <x:c r="K84" s="3" t="str">
        <x:v>1. 여행 0개 홈 열기
2. 제목·본문·CTA 읽기
3. 여행 시작 선택</x:v>
      </x:c>
      <x:c r="L84" s="3" t="str">
        <x:v>여행 목적지 선택·계획 시작이라는 목적을 전달한다. 예시와 내 기록을 구별하고 CTA가 실제 다음 화면과 일치한다.</x:v>
      </x:c>
      <x:c r="M84" s="3" t="str">
        <x:v>HOME.START,HOME.EXAMPLE</x:v>
      </x:c>
      <x:c r="N84" s="11" t="str"/>
      <x:c r="O84" s="11" t="str"/>
      <x:c r="P84" s="11" t="str"/>
      <x:c r="Q84" s="12"/>
      <x:c r="R84" s="12"/>
      <x:c r="S84" s="11" t="str"/>
      <x:c r="T84" s="11" t="str"/>
      <x:c r="U84" s="11" t="str"/>
    </x:row>
    <x:row r="85" ht="72" customHeight="1">
      <x:c r="A85" s="3" t="str">
        <x:v>TXT-004</x:v>
      </x:c>
      <x:c r="B85" s="3" t="str">
        <x:v>P1</x:v>
      </x:c>
      <x:c r="C85" s="3" t="str">
        <x:v>문구</x:v>
      </x:c>
      <x:c r="D85" s="11" t="str">
        <x:v>미실행</x:v>
      </x:c>
      <x:c r="E85" s="11" t="str">
        <x:v>미실행</x:v>
      </x:c>
      <x:c r="F85" s="3" t="str">
        <x:v>전체 화면</x:v>
      </x:c>
      <x:c r="G85" s="3" t="str">
        <x:v>버튼 이름과 실제 행동 일치</x:v>
      </x:c>
      <x:c r="H85" s="3" t="str">
        <x:v>KO·EN</x:v>
      </x:c>
      <x:c r="I85" s="3" t="str">
        <x:v>Android APK·웹</x:v>
      </x:c>
      <x:c r="J85" s="3" t="str">
        <x:v>한국어 화면은 현재 빌드. 영문 화면은 언어 기능 적용 빌드에서 별도 실행.
COMMON.SAVE,COMMON.CANCEL,COMMON.CLOSE</x:v>
      </x:c>
      <x:c r="K85" s="3" t="str">
        <x:v>1. 저장·닫기·취소·공개·초대 버튼 선택
2. 이동·저장·종료 결과와 문구 비교</x:v>
      </x:c>
      <x:c r="L85" s="3" t="str">
        <x:v>돌아가기·취소가 저장으로 오해되지 않는다. 공유와 비공개 저장을 구별하고 같은 행동에는 같은 용어를 사용한다.</x:v>
      </x:c>
      <x:c r="M85" s="3" t="str">
        <x:v>COMMON.SAVE,COMMON.CANCEL,COMMON.CLOSE</x:v>
      </x:c>
      <x:c r="N85" s="11" t="str"/>
      <x:c r="O85" s="11" t="str"/>
      <x:c r="P85" s="11" t="str"/>
      <x:c r="Q85" s="12"/>
      <x:c r="R85" s="12"/>
      <x:c r="S85" s="11" t="str"/>
      <x:c r="T85" s="11" t="str"/>
      <x:c r="U85" s="11" t="str"/>
    </x:row>
    <x:row r="86" ht="72" customHeight="1">
      <x:c r="A86" s="3" t="str">
        <x:v>TXT-005</x:v>
      </x:c>
      <x:c r="B86" s="3" t="str">
        <x:v>P1</x:v>
      </x:c>
      <x:c r="C86" s="3" t="str">
        <x:v>문구</x:v>
      </x:c>
      <x:c r="D86" s="11" t="str">
        <x:v>미실행</x:v>
      </x:c>
      <x:c r="E86" s="11" t="str">
        <x:v>미실행</x:v>
      </x:c>
      <x:c r="F86" s="3" t="str">
        <x:v>여행 기록</x:v>
      </x:c>
      <x:c r="G86" s="3" t="str">
        <x:v>여행·일정·발자국 용어 통일</x:v>
      </x:c>
      <x:c r="H86" s="3" t="str">
        <x:v>KO·EN</x:v>
      </x:c>
      <x:c r="I86" s="3" t="str">
        <x:v>Android APK·웹</x:v>
      </x:c>
      <x:c r="J86" s="3" t="str">
        <x:v>한국어 화면은 현재 빌드. 영문 화면은 언어 기능 적용 빌드에서 별도 실행.
TERM.TRIP,TERM.ITINERARY,TERM.FOOTPRINTS</x:v>
      </x:c>
      <x:c r="K86" s="3" t="str">
        <x:v>1. 홈·상세·발자국·다이어리 탐색
2. 상단 제목과 탭·CTA 대조</x:v>
      </x:c>
      <x:c r="L86" s="3" t="str">
        <x:v>여행은 전체 여행, 일정은 날짜별 활동, 발자국은 여행 기록으로 일관되게 사용한다. 동일 개념을 임의 명칭으로 바꾸지 않는다.</x:v>
      </x:c>
      <x:c r="M86" s="3" t="str">
        <x:v>TERM.TRIP,TERM.ITINERARY,TERM.FOOTPRINTS</x:v>
      </x:c>
      <x:c r="N86" s="11" t="str"/>
      <x:c r="O86" s="11" t="str"/>
      <x:c r="P86" s="11" t="str"/>
      <x:c r="Q86" s="12"/>
      <x:c r="R86" s="12"/>
      <x:c r="S86" s="11" t="str"/>
      <x:c r="T86" s="11" t="str"/>
      <x:c r="U86" s="11" t="str"/>
    </x:row>
    <x:row r="87" ht="72" customHeight="1">
      <x:c r="A87" s="3" t="str">
        <x:v>TXT-006</x:v>
      </x:c>
      <x:c r="B87" s="3" t="str">
        <x:v>P1</x:v>
      </x:c>
      <x:c r="C87" s="3" t="str">
        <x:v>문구</x:v>
      </x:c>
      <x:c r="D87" s="11" t="str">
        <x:v>미실행</x:v>
      </x:c>
      <x:c r="E87" s="11" t="str">
        <x:v>미실행</x:v>
      </x:c>
      <x:c r="F87" s="3" t="str">
        <x:v>가입·로그인</x:v>
      </x:c>
      <x:c r="G87" s="3" t="str">
        <x:v>입력 오류가 수정 방법을 안내</x:v>
      </x:c>
      <x:c r="H87" s="3" t="str">
        <x:v>KO·EN</x:v>
      </x:c>
      <x:c r="I87" s="3" t="str">
        <x:v>Android APK·웹</x:v>
      </x:c>
      <x:c r="J87" s="3" t="str">
        <x:v>한국어 화면은 현재 빌드. 영문 화면은 언어 기능 적용 빌드에서 별도 실행.
FORM.EMAIL,FORM.PASSWORD,FORM.CONFIRM</x:v>
      </x:c>
      <x:c r="K87" s="3" t="str">
        <x:v>1. 빈 항목·잘못된 이메일·불일치 비밀번호로 제출
2. 안내와 입력 항목 비교</x:v>
      </x:c>
      <x:c r="L87" s="3" t="str">
        <x:v>어느 항목을 어떻게 고칠지 알 수 있고 작성한 이메일이 남는다. 인증 코드·요청 식별자 같은 내부 원인만 안내하지 않는다.</x:v>
      </x:c>
      <x:c r="M87" s="3" t="str">
        <x:v>FORM.EMAIL,FORM.PASSWORD,FORM.CONFIRM</x:v>
      </x:c>
      <x:c r="N87" s="11" t="str"/>
      <x:c r="O87" s="11" t="str"/>
      <x:c r="P87" s="11" t="str"/>
      <x:c r="Q87" s="12"/>
      <x:c r="R87" s="12"/>
      <x:c r="S87" s="11" t="str"/>
      <x:c r="T87" s="11" t="str"/>
      <x:c r="U87" s="11" t="str"/>
    </x:row>
    <x:row r="88" ht="72" customHeight="1">
      <x:c r="A88" s="3" t="str">
        <x:v>TXT-007</x:v>
      </x:c>
      <x:c r="B88" s="3" t="str">
        <x:v>P0</x:v>
      </x:c>
      <x:c r="C88" s="3" t="str">
        <x:v>문구</x:v>
      </x:c>
      <x:c r="D88" s="11" t="str">
        <x:v>미실행</x:v>
      </x:c>
      <x:c r="E88" s="11" t="str">
        <x:v>미실행</x:v>
      </x:c>
      <x:c r="F88" s="3" t="str">
        <x:v>가입</x:v>
      </x:c>
      <x:c r="G88" s="3" t="str">
        <x:v>실제 보내지 않은 메일을 안내하지 않음</x:v>
      </x:c>
      <x:c r="H88" s="3" t="str">
        <x:v>KO·EN</x:v>
      </x:c>
      <x:c r="I88" s="3" t="str">
        <x:v>Android APK·웹</x:v>
      </x:c>
      <x:c r="J88" s="3" t="str">
        <x:v>한국어 화면은 현재 빌드. 영문 화면은 언어 기능 적용 빌드에서 별도 실행.
AUTH.SIGNUP</x:v>
      </x:c>
      <x:c r="K88" s="3" t="str">
        <x:v>1. 회원가입 완료·실패·세션 없는 응답 확인
2. 메일 확인·재설정 안내와 실제 제공 기능 대조</x:v>
      </x:c>
      <x:c r="L88" s="3" t="str">
        <x:v>인증 링크 발송·확인 완료·비밀번호 재설정을 실제 수행했을 때만 안내한다. 이번 이메일 가입에서는 없는 메일 기능을 성공으로 말하지 않는다.</x:v>
      </x:c>
      <x:c r="M88" s="3" t="str">
        <x:v>AUTH.SIGNUP</x:v>
      </x:c>
      <x:c r="N88" s="11" t="str"/>
      <x:c r="O88" s="11" t="str"/>
      <x:c r="P88" s="11" t="str"/>
      <x:c r="Q88" s="12"/>
      <x:c r="R88" s="12"/>
      <x:c r="S88" s="11" t="str"/>
      <x:c r="T88" s="11" t="str"/>
      <x:c r="U88" s="11" t="str"/>
    </x:row>
    <x:row r="89" ht="72" customHeight="1">
      <x:c r="A89" s="3" t="str">
        <x:v>TXT-008</x:v>
      </x:c>
      <x:c r="B89" s="3" t="str">
        <x:v>P1</x:v>
      </x:c>
      <x:c r="C89" s="3" t="str">
        <x:v>문구</x:v>
      </x:c>
      <x:c r="D89" s="11" t="str">
        <x:v>미실행</x:v>
      </x:c>
      <x:c r="E89" s="11" t="str">
        <x:v>미실행</x:v>
      </x:c>
      <x:c r="F89" s="3" t="str">
        <x:v>여행 폼</x:v>
      </x:c>
      <x:c r="G89" s="3" t="str">
        <x:v>필수·선택·예시가 명확</x:v>
      </x:c>
      <x:c r="H89" s="3" t="str">
        <x:v>KO·EN</x:v>
      </x:c>
      <x:c r="I89" s="3" t="str">
        <x:v>Android APK·웹</x:v>
      </x:c>
      <x:c r="J89" s="3" t="str">
        <x:v>한국어 화면은 현재 빌드. 영문 화면은 언어 기능 적용 빌드에서 별도 실행.
TRIP.FLIGHT_OPTIONAL,FORM.AMOUNT</x:v>
      </x:c>
      <x:c r="K89" s="3" t="str">
        <x:v>1. 여행·항공·비용 폼 읽기
2. 필수 누락·예시값 제출 시도</x:v>
      </x:c>
      <x:c r="L89" s="3" t="str">
        <x:v>항공편이 선택임을 알 수 있다. 날짜·시간·통화·금액의 의미가 명확하고 예시·placeholder를 실제 저장값으로 착각하지 않는다.</x:v>
      </x:c>
      <x:c r="M89" s="3" t="str">
        <x:v>TRIP.FLIGHT_OPTIONAL,FORM.AMOUNT</x:v>
      </x:c>
      <x:c r="N89" s="11" t="str"/>
      <x:c r="O89" s="11" t="str"/>
      <x:c r="P89" s="11" t="str"/>
      <x:c r="Q89" s="12"/>
      <x:c r="R89" s="12"/>
      <x:c r="S89" s="11" t="str"/>
      <x:c r="T89" s="11" t="str"/>
      <x:c r="U89" s="11" t="str"/>
    </x:row>
    <x:row r="90" ht="72" customHeight="1">
      <x:c r="A90" s="3" t="str">
        <x:v>TXT-009</x:v>
      </x:c>
      <x:c r="B90" s="3" t="str">
        <x:v>P0</x:v>
      </x:c>
      <x:c r="C90" s="3" t="str">
        <x:v>문구</x:v>
      </x:c>
      <x:c r="D90" s="11" t="str">
        <x:v>미실행</x:v>
      </x:c>
      <x:c r="E90" s="11" t="str">
        <x:v>미실행</x:v>
      </x:c>
      <x:c r="F90" s="3" t="str">
        <x:v>저장·삭제</x:v>
      </x:c>
      <x:c r="G90" s="3" t="str">
        <x:v>완료 안내가 실제 결과와 일치</x:v>
      </x:c>
      <x:c r="H90" s="3" t="str">
        <x:v>KO·EN</x:v>
      </x:c>
      <x:c r="I90" s="3" t="str">
        <x:v>Android APK·웹</x:v>
      </x:c>
      <x:c r="J90" s="3" t="str">
        <x:v>한국어 화면은 현재 빌드. 영문 화면은 언어 기능 적용 빌드에서 별도 실행.
COMMON.SAVE,COMMON.RETRY_SAVE</x:v>
      </x:c>
      <x:c r="K90" s="3" t="str">
        <x:v>1. 저장 성공·실패·취소·지연 응답 재현
2. 완료 문구와 재조회 대조</x:v>
      </x:c>
      <x:c r="L90" s="3" t="str">
        <x:v>실제 저장 완료 뒤에만 완료를 안내한다. 지연·실패는 진행·재시도로 안내하고 삭제 범위를 사실대로 설명한다.</x:v>
      </x:c>
      <x:c r="M90" s="3" t="str">
        <x:v>COMMON.SAVE,COMMON.RETRY_SAVE</x:v>
      </x:c>
      <x:c r="N90" s="11" t="str"/>
      <x:c r="O90" s="11" t="str"/>
      <x:c r="P90" s="11" t="str"/>
      <x:c r="Q90" s="12"/>
      <x:c r="R90" s="12"/>
      <x:c r="S90" s="11" t="str"/>
      <x:c r="T90" s="11" t="str"/>
      <x:c r="U90" s="11" t="str"/>
    </x:row>
    <x:row r="91" ht="72" customHeight="1">
      <x:c r="A91" s="3" t="str">
        <x:v>TXT-010</x:v>
      </x:c>
      <x:c r="B91" s="3" t="str">
        <x:v>P1</x:v>
      </x:c>
      <x:c r="C91" s="3" t="str">
        <x:v>문구</x:v>
      </x:c>
      <x:c r="D91" s="11" t="str">
        <x:v>미실행</x:v>
      </x:c>
      <x:c r="E91" s="11" t="str">
        <x:v>미실행</x:v>
      </x:c>
      <x:c r="F91" s="3" t="str">
        <x:v>오류·네트워크</x:v>
      </x:c>
      <x:c r="G91" s="3" t="str">
        <x:v>오류 원인과 복구 행동</x:v>
      </x:c>
      <x:c r="H91" s="3" t="str">
        <x:v>KO·EN</x:v>
      </x:c>
      <x:c r="I91" s="3" t="str">
        <x:v>Android APK·웹</x:v>
      </x:c>
      <x:c r="J91" s="3" t="str">
        <x:v>한국어 화면은 현재 빌드. 영문 화면은 언어 기능 적용 빌드에서 별도 실행.
ERROR.SAVE,ERROR.CONNECTION,AUTH.RECOVERY</x:v>
      </x:c>
      <x:c r="K91" s="3" t="str">
        <x:v>1. 오프라인·시간초과·충돌·만료 재현
2. 설명·버튼·입력 유지 확인</x:v>
      </x:c>
      <x:c r="L91" s="3" t="str">
        <x:v>다시 저장하기·재로그인·새로고침 등 수행 가능한 행동을 설명한다. 같은 요청·서버 응답 같은 내부 표현을 요구하지 않는다.</x:v>
      </x:c>
      <x:c r="M91" s="3" t="str">
        <x:v>ERROR.SAVE,ERROR.CONNECTION,AUTH.RECOVERY</x:v>
      </x:c>
      <x:c r="N91" s="11" t="str"/>
      <x:c r="O91" s="11" t="str"/>
      <x:c r="P91" s="11" t="str"/>
      <x:c r="Q91" s="12"/>
      <x:c r="R91" s="12"/>
      <x:c r="S91" s="11" t="str"/>
      <x:c r="T91" s="11" t="str"/>
      <x:c r="U91" s="11" t="str"/>
    </x:row>
    <x:row r="92" ht="72" customHeight="1">
      <x:c r="A92" s="3" t="str">
        <x:v>TXT-011</x:v>
      </x:c>
      <x:c r="B92" s="3" t="str">
        <x:v>P0</x:v>
      </x:c>
      <x:c r="C92" s="3" t="str">
        <x:v>문구</x:v>
      </x:c>
      <x:c r="D92" s="11" t="str">
        <x:v>미실행</x:v>
      </x:c>
      <x:c r="E92" s="11" t="str">
        <x:v>미실행</x:v>
      </x:c>
      <x:c r="F92" s="3" t="str">
        <x:v>전체 오류</x:v>
      </x:c>
      <x:c r="G92" s="3" t="str">
        <x:v>원본 오류·민감 정보 노출 금지</x:v>
      </x:c>
      <x:c r="H92" s="3" t="str">
        <x:v>KO·EN</x:v>
      </x:c>
      <x:c r="I92" s="3" t="str">
        <x:v>Android APK·웹</x:v>
      </x:c>
      <x:c r="J92" s="3" t="str">
        <x:v>한국어 화면은 현재 빌드. 영문 화면은 언어 기능 적용 빌드에서 별도 실행.
ERROR.CONNECTION</x:v>
      </x:c>
      <x:c r="K92" s="3" t="str">
        <x:v>1. 잘못된 응답·권한 거부·일반 오류 재현
2. alert·토스트·화면·접근성 문자열 확인</x:v>
      </x:c>
      <x:c r="L92" s="3" t="str">
        <x:v>SQL·stack·토큰·서명 URL·UUID·JSON·원본 영문 예외를 고객 오류로 출력하지 않는다. 선택 언어로 안전한 복구 안내가 보인다.</x:v>
      </x:c>
      <x:c r="M92" s="3" t="str">
        <x:v>ERROR.CONNECTION</x:v>
      </x:c>
      <x:c r="N92" s="11" t="str"/>
      <x:c r="O92" s="11" t="str"/>
      <x:c r="P92" s="11" t="str"/>
      <x:c r="Q92" s="12"/>
      <x:c r="R92" s="12"/>
      <x:c r="S92" s="11" t="str"/>
      <x:c r="T92" s="11" t="str"/>
      <x:c r="U92" s="11" t="str"/>
    </x:row>
    <x:row r="93" ht="72" customHeight="1">
      <x:c r="A93" s="3" t="str">
        <x:v>TXT-012</x:v>
      </x:c>
      <x:c r="B93" s="3" t="str">
        <x:v>P0</x:v>
      </x:c>
      <x:c r="C93" s="3" t="str">
        <x:v>문구</x:v>
      </x:c>
      <x:c r="D93" s="11" t="str">
        <x:v>미실행</x:v>
      </x:c>
      <x:c r="E93" s="11" t="str">
        <x:v>미실행</x:v>
      </x:c>
      <x:c r="F93" s="3" t="str">
        <x:v>영수증 시작</x:v>
      </x:c>
      <x:c r="G93" s="3" t="str">
        <x:v>사진 스캔이 기본 흐름</x:v>
      </x:c>
      <x:c r="H93" s="3" t="str">
        <x:v>KO·EN</x:v>
      </x:c>
      <x:c r="I93" s="3" t="str">
        <x:v>Android APK·웹</x:v>
      </x:c>
      <x:c r="J93" s="3" t="str">
        <x:v>한국어 화면은 현재 빌드. 영문 화면은 언어 기능 적용 빌드에서 별도 실행.
RECEIPT.LOADING,RECEIPT.REVIEW</x:v>
      </x:c>
      <x:c r="K93" s="3" t="str">
        <x:v>1. 촬영·사진 선택
2. 로딩·인식 확인 문구 읽기</x:v>
      </x:c>
      <x:c r="L93" s="3" t="str">
        <x:v>사진을 읽고 결과를 확인한다는 흐름이다. 전체 영수증을 사용자가 다시 작성해야 한다는 문구를 기본 안내로 사용하지 않는다.</x:v>
      </x:c>
      <x:c r="M93" s="3" t="str">
        <x:v>RECEIPT.LOADING,RECEIPT.REVIEW</x:v>
      </x:c>
      <x:c r="N93" s="11" t="str"/>
      <x:c r="O93" s="11" t="str"/>
      <x:c r="P93" s="11" t="str"/>
      <x:c r="Q93" s="12"/>
      <x:c r="R93" s="12"/>
      <x:c r="S93" s="11" t="str"/>
      <x:c r="T93" s="11" t="str"/>
      <x:c r="U93" s="11" t="str"/>
    </x:row>
    <x:row r="94" ht="72" customHeight="1">
      <x:c r="A94" s="3" t="str">
        <x:v>TXT-013</x:v>
      </x:c>
      <x:c r="B94" s="3" t="str">
        <x:v>P1</x:v>
      </x:c>
      <x:c r="C94" s="3" t="str">
        <x:v>문구</x:v>
      </x:c>
      <x:c r="D94" s="11" t="str">
        <x:v>미실행</x:v>
      </x:c>
      <x:c r="E94" s="11" t="str">
        <x:v>미실행</x:v>
      </x:c>
      <x:c r="F94" s="3" t="str">
        <x:v>영수증 실패</x:v>
      </x:c>
      <x:c r="G94" s="3" t="str">
        <x:v>실패·누락을 확인 가능한 말로 안내</x:v>
      </x:c>
      <x:c r="H94" s="3" t="str">
        <x:v>KO·EN</x:v>
      </x:c>
      <x:c r="I94" s="3" t="str">
        <x:v>Android APK·웹</x:v>
      </x:c>
      <x:c r="J94" s="3" t="str">
        <x:v>한국어 화면은 현재 빌드. 영문 화면은 언어 기능 적용 빌드에서 별도 실행.
RECEIPT.ERROR,RECEIPT.RETRY,RECEIPT.OTHER</x:v>
      </x:c>
      <x:c r="K94" s="3" t="str">
        <x:v>1. 흐린 사진·부분 인식·실패 재현
2. 안내·재스캔·사진 변경·직접 입력 확인</x:v>
      </x:c>
      <x:c r="L94" s="3" t="str">
        <x:v>상호·날짜·금액 등 확인할 항목을 알 수 있다. 다시 스캔하기와 다른 사진 선택이 먼저 보이고 수동 대안은 사용자가 선택한다.</x:v>
      </x:c>
      <x:c r="M94" s="3" t="str">
        <x:v>RECEIPT.ERROR,RECEIPT.RETRY,RECEIPT.OTHER</x:v>
      </x:c>
      <x:c r="N94" s="11" t="str"/>
      <x:c r="O94" s="11" t="str"/>
      <x:c r="P94" s="11" t="str"/>
      <x:c r="Q94" s="12"/>
      <x:c r="R94" s="12"/>
      <x:c r="S94" s="11" t="str"/>
      <x:c r="T94" s="11" t="str"/>
      <x:c r="U94" s="11" t="str"/>
    </x:row>
    <x:row r="95" ht="72" customHeight="1">
      <x:c r="A95" s="3" t="str">
        <x:v>TXT-014</x:v>
      </x:c>
      <x:c r="B95" s="3" t="str">
        <x:v>P0</x:v>
      </x:c>
      <x:c r="C95" s="3" t="str">
        <x:v>문구</x:v>
      </x:c>
      <x:c r="D95" s="11" t="str">
        <x:v>미실행</x:v>
      </x:c>
      <x:c r="E95" s="11" t="str">
        <x:v>미실행</x:v>
      </x:c>
      <x:c r="F95" s="3" t="str">
        <x:v>영수증 등록</x:v>
      </x:c>
      <x:c r="G95" s="3" t="str">
        <x:v>날짜·DAY·실제 지출 안내 정확</x:v>
      </x:c>
      <x:c r="H95" s="3" t="str">
        <x:v>KO·EN</x:v>
      </x:c>
      <x:c r="I95" s="3" t="str">
        <x:v>Android APK·웹</x:v>
      </x:c>
      <x:c r="J95" s="3" t="str">
        <x:v>한국어 화면은 현재 빌드. 영문 화면은 언어 기능 적용 빌드에서 별도 실행.
RECEIPT.PAID_DATE,RECEIPT.PAID_TIME,RECEIPT.REGISTER</x:v>
      </x:c>
      <x:c r="K95" s="3" t="str">
        <x:v>1. TD-02 후보와 등록 문구 확인
2. DAY3 등록 후 재조회</x:v>
      </x:c>
      <x:c r="L95" s="3" t="str">
        <x:v>안내한 날짜·DAY·통화·합계가 실제 저장 결과와 같다. 입점 날짜나 메뉴 단가를 결제 합계로 설명하지 않는다.</x:v>
      </x:c>
      <x:c r="M95" s="3" t="str">
        <x:v>RECEIPT.PAID_DATE,RECEIPT.PAID_TIME,RECEIPT.REGISTER</x:v>
      </x:c>
      <x:c r="N95" s="11" t="str"/>
      <x:c r="O95" s="11" t="str"/>
      <x:c r="P95" s="11" t="str"/>
      <x:c r="Q95" s="12"/>
      <x:c r="R95" s="12"/>
      <x:c r="S95" s="11" t="str"/>
      <x:c r="T95" s="11" t="str"/>
      <x:c r="U95" s="11" t="str"/>
    </x:row>
    <x:row r="96" ht="72" customHeight="1">
      <x:c r="A96" s="3" t="str">
        <x:v>TXT-015</x:v>
      </x:c>
      <x:c r="B96" s="3" t="str">
        <x:v>P1</x:v>
      </x:c>
      <x:c r="C96" s="3" t="str">
        <x:v>문구</x:v>
      </x:c>
      <x:c r="D96" s="11" t="str">
        <x:v>미실행</x:v>
      </x:c>
      <x:c r="E96" s="11" t="str">
        <x:v>미실행</x:v>
      </x:c>
      <x:c r="F96" s="3" t="str">
        <x:v>비용</x:v>
      </x:c>
      <x:c r="G96" s="3" t="str">
        <x:v>금액과 통화의 의미</x:v>
      </x:c>
      <x:c r="H96" s="3" t="str">
        <x:v>KO·EN</x:v>
      </x:c>
      <x:c r="I96" s="3" t="str">
        <x:v>Android APK·웹</x:v>
      </x:c>
      <x:c r="J96" s="3" t="str">
        <x:v>한국어 화면은 현재 빌드. 영문 화면은 언어 기능 적용 빌드에서 별도 실행.
COST.ACTUAL,COST.PLANNED,FORM.AMOUNT</x:v>
      </x:c>
      <x:c r="K96" s="3" t="str">
        <x:v>1. 실제·예상 비용과 서로 다른 통화 확인
2. 비용 합계·다이어리 문구 읽기</x:v>
      </x:c>
      <x:c r="L96" s="3" t="str">
        <x:v>실제와 예상을 구별한다. 서로 다른 통화를 하나의 합계나 원화 환산으로 표시하지 않는다. 현지 금액과 통화가 명확하다.</x:v>
      </x:c>
      <x:c r="M96" s="3" t="str">
        <x:v>COST.ACTUAL,COST.PLANNED,FORM.AMOUNT</x:v>
      </x:c>
      <x:c r="N96" s="11" t="str"/>
      <x:c r="O96" s="11" t="str"/>
      <x:c r="P96" s="11" t="str"/>
      <x:c r="Q96" s="12"/>
      <x:c r="R96" s="12"/>
      <x:c r="S96" s="11" t="str"/>
      <x:c r="T96" s="11" t="str"/>
      <x:c r="U96" s="11" t="str"/>
    </x:row>
    <x:row r="97" ht="72" customHeight="1">
      <x:c r="A97" s="3" t="str">
        <x:v>TXT-016</x:v>
      </x:c>
      <x:c r="B97" s="3" t="str">
        <x:v>P0</x:v>
      </x:c>
      <x:c r="C97" s="3" t="str">
        <x:v>문구</x:v>
      </x:c>
      <x:c r="D97" s="11" t="str">
        <x:v>미실행</x:v>
      </x:c>
      <x:c r="E97" s="11" t="str">
        <x:v>미실행</x:v>
      </x:c>
      <x:c r="F97" s="3" t="str">
        <x:v>공개 범위</x:v>
      </x:c>
      <x:c r="G97" s="3" t="str">
        <x:v>비공개·기기 저장 범위 설명</x:v>
      </x:c>
      <x:c r="H97" s="3" t="str">
        <x:v>KO·EN</x:v>
      </x:c>
      <x:c r="I97" s="3" t="str">
        <x:v>Android APK·웹</x:v>
      </x:c>
      <x:c r="J97" s="3" t="str">
        <x:v>한국어 화면은 현재 빌드. 영문 화면은 언어 기능 적용 빌드에서 별도 실행.
PRIVACY.DEFAULT,PRIVACY.LOCAL</x:v>
      </x:c>
      <x:c r="K97" s="3" t="str">
        <x:v>1. 로그인·원본 여행·이전 기록 확인
2. 공개 기본값과 문구 비교</x:v>
      </x:c>
      <x:c r="L97" s="3" t="str">
        <x:v>기본 비공개와 사용자가 선택하는 공개 범위를 사실대로 안내한다. 기기 전용 기록은 이 기기에서만 볼 수 있다고 설명한다. 안전을 과장하지 않는다.</x:v>
      </x:c>
      <x:c r="M97" s="3" t="str">
        <x:v>PRIVACY.DEFAULT,PRIVACY.LOCAL</x:v>
      </x:c>
      <x:c r="N97" s="11" t="str"/>
      <x:c r="O97" s="11" t="str"/>
      <x:c r="P97" s="11" t="str"/>
      <x:c r="Q97" s="12"/>
      <x:c r="R97" s="12"/>
      <x:c r="S97" s="11" t="str"/>
      <x:c r="T97" s="11" t="str"/>
      <x:c r="U97" s="11" t="str"/>
    </x:row>
    <x:row r="98" ht="72" customHeight="1">
      <x:c r="A98" s="3" t="str">
        <x:v>TXT-017</x:v>
      </x:c>
      <x:c r="B98" s="3" t="str">
        <x:v>P0</x:v>
      </x:c>
      <x:c r="C98" s="3" t="str">
        <x:v>문구</x:v>
      </x:c>
      <x:c r="D98" s="11" t="str">
        <x:v>미실행</x:v>
      </x:c>
      <x:c r="E98" s="11" t="str">
        <x:v>미실행</x:v>
      </x:c>
      <x:c r="F98" s="3" t="str">
        <x:v>게시</x:v>
      </x:c>
      <x:c r="G98" s="3" t="str">
        <x:v>공개 전 사용자 선택 안내</x:v>
      </x:c>
      <x:c r="H98" s="3" t="str">
        <x:v>KO·EN</x:v>
      </x:c>
      <x:c r="I98" s="3" t="str">
        <x:v>Android APK·웹</x:v>
      </x:c>
      <x:c r="J98" s="3" t="str">
        <x:v>한국어 화면은 현재 빌드. 영문 화면은 언어 기능 적용 빌드에서 별도 실행.
COMMUNITY.PUBLISH</x:v>
      </x:c>
      <x:c r="K98" s="3" t="str">
        <x:v>1. 선택 게시 폼 열기
2. 일정·사진·금액 선택/제외
3. 게시 CTA와 피드 비교</x:v>
      </x:c>
      <x:c r="L98" s="3" t="str">
        <x:v>무엇을 다른 여행자에게 보여주는지 사전에 알 수 있다. 여행 저장·종료를 자동 공개로 오해하게 하지 않는다. 영수증 원본을 공개 사진으로 약속하지 않는다.</x:v>
      </x:c>
      <x:c r="M98" s="3" t="str">
        <x:v>COMMUNITY.PUBLISH</x:v>
      </x:c>
      <x:c r="N98" s="11" t="str"/>
      <x:c r="O98" s="11" t="str"/>
      <x:c r="P98" s="11" t="str"/>
      <x:c r="Q98" s="12"/>
      <x:c r="R98" s="12"/>
      <x:c r="S98" s="11" t="str"/>
      <x:c r="T98" s="11" t="str"/>
      <x:c r="U98" s="11" t="str"/>
    </x:row>
    <x:row r="99" ht="72" customHeight="1">
      <x:c r="A99" s="3" t="str">
        <x:v>TXT-018</x:v>
      </x:c>
      <x:c r="B99" s="3" t="str">
        <x:v>P1</x:v>
      </x:c>
      <x:c r="C99" s="3" t="str">
        <x:v>문구</x:v>
      </x:c>
      <x:c r="D99" s="11" t="str">
        <x:v>미실행</x:v>
      </x:c>
      <x:c r="E99" s="11" t="str">
        <x:v>미실행</x:v>
      </x:c>
      <x:c r="F99" s="3" t="str">
        <x:v>동행</x:v>
      </x:c>
      <x:c r="G99" s="3" t="str">
        <x:v>초대와 보기·편집 역할 설명</x:v>
      </x:c>
      <x:c r="H99" s="3" t="str">
        <x:v>KO·EN</x:v>
      </x:c>
      <x:c r="I99" s="3" t="str">
        <x:v>Android APK·웹</x:v>
      </x:c>
      <x:c r="J99" s="3" t="str">
        <x:v>한국어 화면은 현재 빌드. 영문 화면은 언어 기능 적용 빌드에서 별도 실행.
INVITE.JOIN</x:v>
      </x:c>
      <x:c r="K99" s="3" t="str">
        <x:v>1. 소유자·보기·편집 계정으로 초대 화면 확인
2. 실제 참여·변경 가능 행동 비교</x:v>
      </x:c>
      <x:c r="L99" s="3" t="str">
        <x:v>보거나 함께 편집할 수 있는 범위를 사용자에게 설명한다. 초대 URL을 여는 것만으로 참여 완료라고 하지 않는다. 내부 viewer/editor 코드만으로 안내하지 않는다.</x:v>
      </x:c>
      <x:c r="M99" s="3" t="str">
        <x:v>INVITE.JOIN</x:v>
      </x:c>
      <x:c r="N99" s="11" t="str"/>
      <x:c r="O99" s="11" t="str"/>
      <x:c r="P99" s="11" t="str"/>
      <x:c r="Q99" s="12"/>
      <x:c r="R99" s="12"/>
      <x:c r="S99" s="11" t="str"/>
      <x:c r="T99" s="11" t="str"/>
      <x:c r="U99" s="11" t="str"/>
    </x:row>
    <x:row r="100" ht="72" customHeight="1">
      <x:c r="A100" s="3" t="str">
        <x:v>TXT-019</x:v>
      </x:c>
      <x:c r="B100" s="3" t="str">
        <x:v>P1</x:v>
      </x:c>
      <x:c r="C100" s="3" t="str">
        <x:v>문구</x:v>
      </x:c>
      <x:c r="D100" s="11" t="str">
        <x:v>미실행</x:v>
      </x:c>
      <x:c r="E100" s="11" t="str">
        <x:v>미실행</x:v>
      </x:c>
      <x:c r="F100" s="3" t="str">
        <x:v>지도</x:v>
      </x:c>
      <x:c r="G100" s="3" t="str">
        <x:v>검색·외부 지도·공유 범위 설명</x:v>
      </x:c>
      <x:c r="H100" s="3" t="str">
        <x:v>KO·EN</x:v>
      </x:c>
      <x:c r="I100" s="3" t="str">
        <x:v>Android APK·웹</x:v>
      </x:c>
      <x:c r="J100" s="3" t="str">
        <x:v>한국어 화면은 현재 빌드. 영문 화면은 언어 기능 적용 빌드에서 별도 실행.
MAP.IMPORT,MAP.ERROR,MAP.OPEN</x:v>
      </x:c>
      <x:c r="K100" s="3" t="str">
        <x:v>1. 검색·외부 지도·단일 링크 가져오기
2. 실패 안내 확인</x:v>
      </x:c>
      <x:c r="L100" s="3" t="str">
        <x:v>실제로 연결된 기능을 설명한다. 단일 장소 가져오기를 전체 즐겨찾기 동기화·최적 경로·실시간 지도라고 과장하지 않는다. Google Maps 출처는 유지한다.</x:v>
      </x:c>
      <x:c r="M100" s="3" t="str">
        <x:v>MAP.IMPORT,MAP.ERROR,MAP.OPEN</x:v>
      </x:c>
      <x:c r="N100" s="11" t="str"/>
      <x:c r="O100" s="11" t="str"/>
      <x:c r="P100" s="11" t="str"/>
      <x:c r="Q100" s="12"/>
      <x:c r="R100" s="12"/>
      <x:c r="S100" s="11" t="str"/>
      <x:c r="T100" s="11" t="str"/>
      <x:c r="U100" s="11" t="str"/>
    </x:row>
    <x:row r="101" ht="72" customHeight="1">
      <x:c r="A101" s="3" t="str">
        <x:v>TXT-020</x:v>
      </x:c>
      <x:c r="B101" s="3" t="str">
        <x:v>P1</x:v>
      </x:c>
      <x:c r="C101" s="3" t="str">
        <x:v>문구</x:v>
      </x:c>
      <x:c r="D101" s="11" t="str">
        <x:v>미실행</x:v>
      </x:c>
      <x:c r="E101" s="11" t="str">
        <x:v>미실행</x:v>
      </x:c>
      <x:c r="F101" s="3" t="str">
        <x:v>하루</x:v>
      </x:c>
      <x:c r="G101" s="3" t="str">
        <x:v>서비스의 말투와 마스코트 안내</x:v>
      </x:c>
      <x:c r="H101" s="3" t="str">
        <x:v>KO·EN</x:v>
      </x:c>
      <x:c r="I101" s="3" t="str">
        <x:v>Android APK·웹</x:v>
      </x:c>
      <x:c r="J101" s="3" t="str">
        <x:v>한국어 화면은 현재 빌드. 영문 화면은 언어 기능 적용 빌드에서 별도 실행.
HARU.RELOAD,HARU.HOME</x:v>
      </x:c>
      <x:c r="K101" s="3" t="str">
        <x:v>1. 대기·실패·빈 기록에서 하루와 설명 확인
2. 다음 행동 선택</x:v>
      </x:c>
      <x:c r="L101" s="3" t="str">
        <x:v>하루는 상태와 행동을 설명하고 여행을 돕는다. 사용자 탓·과한 장난·보장하지 않은 성공·가짜 진행률을 표현하지 않는다.</x:v>
      </x:c>
      <x:c r="M101" s="3" t="str">
        <x:v>HARU.RELOAD,HARU.HOME</x:v>
      </x:c>
      <x:c r="N101" s="11" t="str"/>
      <x:c r="O101" s="11" t="str"/>
      <x:c r="P101" s="11" t="str"/>
      <x:c r="Q101" s="12"/>
      <x:c r="R101" s="12"/>
      <x:c r="S101" s="11" t="str"/>
      <x:c r="T101" s="11" t="str"/>
      <x:c r="U101" s="11" t="str"/>
    </x:row>
    <x:row r="102" ht="72" customHeight="1">
      <x:c r="A102" s="3" t="str">
        <x:v>TXT-021</x:v>
      </x:c>
      <x:c r="B102" s="3" t="str">
        <x:v>P1</x:v>
      </x:c>
      <x:c r="C102" s="3" t="str">
        <x:v>문구</x:v>
      </x:c>
      <x:c r="D102" s="11" t="str">
        <x:v>미실행</x:v>
      </x:c>
      <x:c r="E102" s="11" t="str">
        <x:v>미실행</x:v>
      </x:c>
      <x:c r="F102" s="3" t="str">
        <x:v>작은 화면</x:v>
      </x:c>
      <x:c r="G102" s="3" t="str">
        <x:v>줄바꿈·말줄임·버튼 글자</x:v>
      </x:c>
      <x:c r="H102" s="3" t="str">
        <x:v>KO·EN</x:v>
      </x:c>
      <x:c r="I102" s="3" t="str">
        <x:v>Android APK·웹</x:v>
      </x:c>
      <x:c r="J102" s="3" t="str">
        <x:v>한국어 화면은 현재 빌드. 영문 화면은 언어 기능 적용 빌드에서 별도 실행.
TD-06 긴 문자열</x:v>
      </x:c>
      <x:c r="K102" s="3" t="str">
        <x:v>1. 320/360/390dp에서 모든 제목·버튼 확인
2. 긴 여행명·영문 문구 표시</x:v>
      </x:c>
      <x:c r="L102" s="3" t="str">
        <x:v>핵심 의미와 버튼 행동이 잘리거나 겹치지 않는다. 가격·날짜·문구의 조사만 다음 줄에 고립되지 않고 필요한 본문을 읽을 수 있다.</x:v>
      </x:c>
      <x:c r="M102" s="3" t="str">
        <x:v>TD-06 긴 문자열</x:v>
      </x:c>
      <x:c r="N102" s="11" t="str"/>
      <x:c r="O102" s="11" t="str"/>
      <x:c r="P102" s="11" t="str"/>
      <x:c r="Q102" s="12"/>
      <x:c r="R102" s="12"/>
      <x:c r="S102" s="11" t="str"/>
      <x:c r="T102" s="11" t="str"/>
      <x:c r="U102" s="11" t="str"/>
    </x:row>
    <x:row r="103" ht="72" customHeight="1">
      <x:c r="A103" s="3" t="str">
        <x:v>TXT-022</x:v>
      </x:c>
      <x:c r="B103" s="3" t="str">
        <x:v>P1</x:v>
      </x:c>
      <x:c r="C103" s="3" t="str">
        <x:v>문구</x:v>
      </x:c>
      <x:c r="D103" s="11" t="str">
        <x:v>미실행</x:v>
      </x:c>
      <x:c r="E103" s="11" t="str">
        <x:v>미실행</x:v>
      </x:c>
      <x:c r="F103" s="3" t="str">
        <x:v>접근성</x:v>
      </x:c>
      <x:c r="G103" s="3" t="str">
        <x:v>읽어주는 텍스트도 고객 문구</x:v>
      </x:c>
      <x:c r="H103" s="3" t="str">
        <x:v>KO·EN</x:v>
      </x:c>
      <x:c r="I103" s="3" t="str">
        <x:v>Android APK·웹</x:v>
      </x:c>
      <x:c r="J103" s="3" t="str">
        <x:v>한국어 화면은 현재 빌드. 영문 화면은 언어 기능 적용 빌드에서 별도 실행.
TERM.HARU</x:v>
      </x:c>
      <x:c r="K103" s="3" t="str">
        <x:v>1. TalkBack 또는 VoiceOver로 주요 화면 탐색
2. 아이콘 버튼·입력·오류·하루 읽기</x:v>
      </x:c>
      <x:c r="L103" s="3" t="str">
        <x:v>접근성 이름이 버튼 기능·입력 항목·상태를 설명한다. asset 파일명·개발 키·미번역 문자열을 읽지 않는다. 중복 읽기가 심하지 않다.</x:v>
      </x:c>
      <x:c r="M103" s="3" t="str">
        <x:v>TERM.HARU</x:v>
      </x:c>
      <x:c r="N103" s="11" t="str"/>
      <x:c r="O103" s="11" t="str"/>
      <x:c r="P103" s="11" t="str"/>
      <x:c r="Q103" s="12"/>
      <x:c r="R103" s="12"/>
      <x:c r="S103" s="11" t="str"/>
      <x:c r="T103" s="11" t="str"/>
      <x:c r="U103" s="11" t="str"/>
    </x:row>
    <x:row r="104" ht="72" customHeight="1">
      <x:c r="A104" s="3" t="str">
        <x:v>TXT-023</x:v>
      </x:c>
      <x:c r="B104" s="3" t="str">
        <x:v>P1</x:v>
      </x:c>
      <x:c r="C104" s="3" t="str">
        <x:v>문구</x:v>
      </x:c>
      <x:c r="D104" s="11" t="str">
        <x:v>미실행</x:v>
      </x:c>
      <x:c r="E104" s="11" t="str">
        <x:v>미실행</x:v>
      </x:c>
      <x:c r="F104" s="3" t="str">
        <x:v>사용자 입력</x:v>
      </x:c>
      <x:c r="G104" s="3" t="str">
        <x:v>표시·탈출·긴 문장 보존</x:v>
      </x:c>
      <x:c r="H104" s="3" t="str">
        <x:v>KO·EN</x:v>
      </x:c>
      <x:c r="I104" s="3" t="str">
        <x:v>Android APK·웹</x:v>
      </x:c>
      <x:c r="J104" s="3" t="str">
        <x:v>한국어 화면은 현재 빌드. 영문 화면은 언어 기능 적용 빌드에서 별도 실행.
TD-06 Unicode·긴 문자열</x:v>
      </x:c>
      <x:c r="K104" s="3" t="str">
        <x:v>1. TD-06 여행명·닉네임·소개·메모 입력
2. 게시·다이어리·검색에서 확인</x:v>
      </x:c>
      <x:c r="L104" s="3" t="str">
        <x:v>사용자 입력이 코드나 HTML로 실행되지 않는다. 이모지·악센트·일본어를 깨뜨리지 않고 가독성 있게 표시한다. 핵심 원문은 임의 번역·삭제하지 않는다.</x:v>
      </x:c>
      <x:c r="M104" s="3" t="str">
        <x:v>TD-06 Unicode·긴 문자열</x:v>
      </x:c>
      <x:c r="N104" s="11" t="str"/>
      <x:c r="O104" s="11" t="str"/>
      <x:c r="P104" s="11" t="str"/>
      <x:c r="Q104" s="12"/>
      <x:c r="R104" s="12"/>
      <x:c r="S104" s="11" t="str"/>
      <x:c r="T104" s="11" t="str"/>
      <x:c r="U104" s="11" t="str"/>
    </x:row>
    <x:row r="105" ht="72" customHeight="1">
      <x:c r="A105" s="3" t="str">
        <x:v>TXT-024</x:v>
      </x:c>
      <x:c r="B105" s="3" t="str">
        <x:v>P1</x:v>
      </x:c>
      <x:c r="C105" s="3" t="str">
        <x:v>문구</x:v>
      </x:c>
      <x:c r="D105" s="11" t="str">
        <x:v>미실행</x:v>
      </x:c>
      <x:c r="E105" s="11" t="str">
        <x:v>미실행</x:v>
      </x:c>
      <x:c r="F105" s="3" t="str">
        <x:v>권한</x:v>
      </x:c>
      <x:c r="G105" s="3" t="str">
        <x:v>촬영·사진 권한 설명</x:v>
      </x:c>
      <x:c r="H105" s="3" t="str">
        <x:v>KO·EN</x:v>
      </x:c>
      <x:c r="I105" s="3" t="str">
        <x:v>Android APK·웹</x:v>
      </x:c>
      <x:c r="J105" s="3" t="str">
        <x:v>한국어 화면은 현재 빌드. 영문 화면은 언어 기능 적용 빌드에서 별도 실행.
NATIVE.CAMERA,NATIVE.PHOTOS</x:v>
      </x:c>
      <x:c r="K105" s="3" t="str">
        <x:v>1. 최초 권한 요청과 거부 상태 확인
2. 앨범 선택·촬영·설정 복귀</x:v>
      </x:c>
      <x:c r="L105" s="3" t="str">
        <x:v>여행 사진·영수증 선택/촬영 목적을 설명한다. 필요하지 않은 마이크·위치 권한을 요구하는 문구나 범용 개발 안내가 없다.</x:v>
      </x:c>
      <x:c r="M105" s="3" t="str">
        <x:v>NATIVE.CAMERA,NATIVE.PHOTOS</x:v>
      </x:c>
      <x:c r="N105" s="11" t="str"/>
      <x:c r="O105" s="11" t="str"/>
      <x:c r="P105" s="11" t="str"/>
      <x:c r="Q105" s="12"/>
      <x:c r="R105" s="12"/>
      <x:c r="S105" s="11" t="str"/>
      <x:c r="T105" s="11" t="str"/>
      <x:c r="U105" s="11" t="str"/>
    </x:row>
    <x:row r="106" ht="72" customHeight="1">
      <x:c r="A106" s="3" t="str">
        <x:v>TXT-025</x:v>
      </x:c>
      <x:c r="B106" s="3" t="str">
        <x:v>P1</x:v>
      </x:c>
      <x:c r="C106" s="3" t="str">
        <x:v>문구</x:v>
      </x:c>
      <x:c r="D106" s="11" t="str">
        <x:v>미실행</x:v>
      </x:c>
      <x:c r="E106" s="11" t="str">
        <x:v>미실행</x:v>
      </x:c>
      <x:c r="F106" s="3" t="str">
        <x:v>가독성</x:v>
      </x:c>
      <x:c r="G106" s="3" t="str">
        <x:v>큰 글씨와 화면 키보드</x:v>
      </x:c>
      <x:c r="H106" s="3" t="str">
        <x:v>KO·EN</x:v>
      </x:c>
      <x:c r="I106" s="3" t="str">
        <x:v>Android APK·웹</x:v>
      </x:c>
      <x:c r="J106" s="3" t="str">
        <x:v>한국어 화면은 현재 빌드. 영문 화면은 언어 기능 적용 빌드에서 별도 실행.
TD-07 기기 크기·글자 크기</x:v>
      </x:c>
      <x:c r="K106" s="3" t="str">
        <x:v>1. 글자 크기 100%·200% 적용
2. 폼 키보드 열기
3. 오류·하단 안내·저장 버튼 확인</x:v>
      </x:c>
      <x:c r="L106" s="3" t="str">
        <x:v>입력·핵심 설명·오류·CTA를 스크롤로 읽고 조작할 수 있다. 작게 고정된 문구로 중요한 공개 범위나 결제 정보가 읽히지 않는 문제가 없다.</x:v>
      </x:c>
      <x:c r="M106" s="3" t="str">
        <x:v>TD-07 기기 크기·글자 크기</x:v>
      </x:c>
      <x:c r="N106" s="11" t="str"/>
      <x:c r="O106" s="11" t="str"/>
      <x:c r="P106" s="11" t="str"/>
      <x:c r="Q106" s="12"/>
      <x:c r="R106" s="12"/>
      <x:c r="S106" s="11" t="str"/>
      <x:c r="T106" s="11" t="str"/>
      <x:c r="U106" s="11" t="str"/>
    </x:row>
    <x:row r="107" ht="72" customHeight="1">
      <x:c r="A107" s="3" t="str">
        <x:v>TXT-026</x:v>
      </x:c>
      <x:c r="B107" s="3" t="str">
        <x:v>P0</x:v>
      </x:c>
      <x:c r="C107" s="3" t="str">
        <x:v>문구</x:v>
      </x:c>
      <x:c r="D107" s="11" t="str">
        <x:v>미실행</x:v>
      </x:c>
      <x:c r="E107" s="11" t="str">
        <x:v>미실행</x:v>
      </x:c>
      <x:c r="F107" s="3" t="str">
        <x:v>전체 문구</x:v>
      </x:c>
      <x:c r="G107" s="3" t="str">
        <x:v>오탈자·빈 번역·템플릿 잔여</x:v>
      </x:c>
      <x:c r="H107" s="3" t="str">
        <x:v>KO·EN</x:v>
      </x:c>
      <x:c r="I107" s="3" t="str">
        <x:v>Android APK·웹</x:v>
      </x:c>
      <x:c r="J107" s="3" t="str">
        <x:v>한국어 화면은 현재 빌드. 영문 화면은 언어 기능 적용 빌드에서 별도 실행.
전체 문구 기준</x:v>
      </x:c>
      <x:c r="K107" s="3" t="str">
        <x:v>1. 39개 화면의 정상·빈·오류·저장 상태 확인
2. 문구 기준과 변수 값 비교</x:v>
      </x:c>
      <x:c r="L107" s="3" t="str">
        <x:v>맞춤법·띄어쓰기·브랜드 표기를 일관되게 사용한다. undefined/null/[object Object]/번역 key/{name} 등의 잔여 문구와 빈 CTA가 없다. 개발용 샘플을 실제 기록으로 속이지 않는다.</x:v>
      </x:c>
      <x:c r="M107" s="3" t="str">
        <x:v>전체 문구 기준</x:v>
      </x:c>
      <x:c r="N107" s="11" t="str"/>
      <x:c r="O107" s="11" t="str"/>
      <x:c r="P107" s="11" t="str"/>
      <x:c r="Q107" s="12"/>
      <x:c r="R107" s="12"/>
      <x:c r="S107" s="11" t="str"/>
      <x:c r="T107" s="11" t="str"/>
      <x:c r="U107" s="11" t="str"/>
    </x:row>
    <x:row r="108" ht="72" customHeight="1">
      <x:c r="A108" s="3" t="str">
        <x:v>EN-001</x:v>
      </x:c>
      <x:c r="B108" s="3" t="str">
        <x:v>P0</x:v>
      </x:c>
      <x:c r="C108" s="3" t="str">
        <x:v>영문</x:v>
      </x:c>
      <x:c r="D108" s="11" t="str">
        <x:v>N/A</x:v>
      </x:c>
      <x:c r="E108" s="11" t="str">
        <x:v>미실행</x:v>
      </x:c>
      <x:c r="F108" s="3" t="str">
        <x:v>언어 선택</x:v>
      </x:c>
      <x:c r="G108" s="3" t="str">
        <x:v>영문 기기 첫 실행</x:v>
      </x:c>
      <x:c r="H108" s="3" t="str">
        <x:v>EN</x:v>
      </x:c>
      <x:c r="I108" s="3" t="str">
        <x:v>Android APK·웹</x:v>
      </x:c>
      <x:c r="J108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08" s="3" t="str">
        <x:v>1. 앱 데이터 없는 en-US 기기에서 실행
2. 홈·로그인과 기본 언어 확인</x:v>
      </x:c>
      <x:c r="L108" s="3" t="str">
        <x:v>영문을 기본 표시한다. 첫 홈부터 영어로 여행 시작 목적과 실제 로그인 방법을 안내한다.</x:v>
      </x:c>
      <x:c r="M108" s="3" t="str"/>
      <x:c r="N108" s="11" t="str"/>
      <x:c r="O108" s="11" t="str"/>
      <x:c r="P108" s="11" t="str"/>
      <x:c r="Q108" s="12"/>
      <x:c r="R108" s="12"/>
      <x:c r="S108" s="11" t="str"/>
      <x:c r="T108" s="11" t="str"/>
      <x:c r="U108" s="11" t="str"/>
    </x:row>
    <x:row r="109" ht="72" customHeight="1">
      <x:c r="A109" s="3" t="str">
        <x:v>EN-002</x:v>
      </x:c>
      <x:c r="B109" s="3" t="str">
        <x:v>P0</x:v>
      </x:c>
      <x:c r="C109" s="3" t="str">
        <x:v>영문</x:v>
      </x:c>
      <x:c r="D109" s="11" t="str">
        <x:v>N/A</x:v>
      </x:c>
      <x:c r="E109" s="11" t="str">
        <x:v>미실행</x:v>
      </x:c>
      <x:c r="F109" s="3" t="str">
        <x:v>언어 선택</x:v>
      </x:c>
      <x:c r="G109" s="3" t="str">
        <x:v>한국어 기기 첫 실행</x:v>
      </x:c>
      <x:c r="H109" s="3" t="str">
        <x:v>EN</x:v>
      </x:c>
      <x:c r="I109" s="3" t="str">
        <x:v>Android APK·웹</x:v>
      </x:c>
      <x:c r="J109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09" s="3" t="str">
        <x:v>1. 앱 데이터 없는 ko-KR 기기에서 실행
2. 한국어 홈·로그인 확인</x:v>
      </x:c>
      <x:c r="L109" s="3" t="str">
        <x:v>한국어를 기본 표시한다. 영문 리소스 추가로 기존 한국어 화면·가입·저장 기능이 깨지지 않는다.</x:v>
      </x:c>
      <x:c r="M109" s="3" t="str"/>
      <x:c r="N109" s="11" t="str"/>
      <x:c r="O109" s="11" t="str"/>
      <x:c r="P109" s="11" t="str"/>
      <x:c r="Q109" s="12"/>
      <x:c r="R109" s="12"/>
      <x:c r="S109" s="11" t="str"/>
      <x:c r="T109" s="11" t="str"/>
      <x:c r="U109" s="11" t="str"/>
    </x:row>
    <x:row r="110" ht="72" customHeight="1">
      <x:c r="A110" s="3" t="str">
        <x:v>EN-003</x:v>
      </x:c>
      <x:c r="B110" s="3" t="str">
        <x:v>P0</x:v>
      </x:c>
      <x:c r="C110" s="3" t="str">
        <x:v>영문</x:v>
      </x:c>
      <x:c r="D110" s="11" t="str">
        <x:v>N/A</x:v>
      </x:c>
      <x:c r="E110" s="11" t="str">
        <x:v>미실행</x:v>
      </x:c>
      <x:c r="F110" s="3" t="str">
        <x:v>언어 선택</x:v>
      </x:c>
      <x:c r="G110" s="3" t="str">
        <x:v>수동 선택과 재실행 유지</x:v>
      </x:c>
      <x:c r="H110" s="3" t="str">
        <x:v>EN</x:v>
      </x:c>
      <x:c r="I110" s="3" t="str">
        <x:v>Android APK·웹</x:v>
      </x:c>
      <x:c r="J110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0" s="3" t="str">
        <x:v>1. 한국어에서 English 선택
2. 앱 종료·재실행
3. 한국어로 복원 후 재실행</x:v>
      </x:c>
      <x:c r="L110" s="3" t="str">
        <x:v>사용자가 선택한 언어를 자동 감지보다 우선하고 재실행 후 유지한다. 전환에 재가입을 요구하지 않는다.</x:v>
      </x:c>
      <x:c r="M110" s="3" t="str"/>
      <x:c r="N110" s="11" t="str"/>
      <x:c r="O110" s="11" t="str"/>
      <x:c r="P110" s="11" t="str"/>
      <x:c r="Q110" s="12"/>
      <x:c r="R110" s="12"/>
      <x:c r="S110" s="11" t="str"/>
      <x:c r="T110" s="11" t="str"/>
      <x:c r="U110" s="11" t="str"/>
    </x:row>
    <x:row r="111" ht="72" customHeight="1">
      <x:c r="A111" s="3" t="str">
        <x:v>EN-004</x:v>
      </x:c>
      <x:c r="B111" s="3" t="str">
        <x:v>P0</x:v>
      </x:c>
      <x:c r="C111" s="3" t="str">
        <x:v>영문</x:v>
      </x:c>
      <x:c r="D111" s="11" t="str">
        <x:v>N/A</x:v>
      </x:c>
      <x:c r="E111" s="11" t="str">
        <x:v>미실행</x:v>
      </x:c>
      <x:c r="F111" s="3" t="str">
        <x:v>언어 선택</x:v>
      </x:c>
      <x:c r="G111" s="3" t="str">
        <x:v>작성 중 언어 전환</x:v>
      </x:c>
      <x:c r="H111" s="3" t="str">
        <x:v>EN</x:v>
      </x:c>
      <x:c r="I111" s="3" t="str">
        <x:v>Android APK·웹</x:v>
      </x:c>
      <x:c r="J111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1" s="3" t="str">
        <x:v>1. 여행·일정·영수증 폼 작성
2. 언어 변경 후 내용 비교
3. 저장·재조회</x:v>
      </x:c>
      <x:c r="L111" s="3" t="str">
        <x:v>문구만 바뀌고 입력·인식 후보·선택 DAY·금액·로그인을 잃지 않는다. 같은 기록을 중복 생성하지 않는다.</x:v>
      </x:c>
      <x:c r="M111" s="3" t="str"/>
      <x:c r="N111" s="11" t="str"/>
      <x:c r="O111" s="11" t="str"/>
      <x:c r="P111" s="11" t="str"/>
      <x:c r="Q111" s="12"/>
      <x:c r="R111" s="12"/>
      <x:c r="S111" s="11" t="str"/>
      <x:c r="T111" s="11" t="str"/>
      <x:c r="U111" s="11" t="str"/>
    </x:row>
    <x:row r="112" ht="72" customHeight="1">
      <x:c r="A112" s="3" t="str">
        <x:v>EN-005</x:v>
      </x:c>
      <x:c r="B112" s="3" t="str">
        <x:v>P1</x:v>
      </x:c>
      <x:c r="C112" s="3" t="str">
        <x:v>영문</x:v>
      </x:c>
      <x:c r="D112" s="11" t="str">
        <x:v>N/A</x:v>
      </x:c>
      <x:c r="E112" s="11" t="str">
        <x:v>미실행</x:v>
      </x:c>
      <x:c r="F112" s="3" t="str">
        <x:v>언어 선택</x:v>
      </x:c>
      <x:c r="G112" s="3" t="str">
        <x:v>게스트·계정 전환의 언어 유지</x:v>
      </x:c>
      <x:c r="H112" s="3" t="str">
        <x:v>EN</x:v>
      </x:c>
      <x:c r="I112" s="3" t="str">
        <x:v>Android APK·웹</x:v>
      </x:c>
      <x:c r="J112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2" s="3" t="str">
        <x:v>1. 게스트에서 English 선택
2. A 로그인·로그아웃·B 로그인
3. 각 화면 확인</x:v>
      </x:c>
      <x:c r="L112" s="3" t="str">
        <x:v>선택 언어를 일관되게 유지한다. 계정 전환에서 다른 회원의 개인정보가 언어 설정과 함께 복원되지 않는다.</x:v>
      </x:c>
      <x:c r="M112" s="3" t="str"/>
      <x:c r="N112" s="11" t="str"/>
      <x:c r="O112" s="11" t="str"/>
      <x:c r="P112" s="11" t="str"/>
      <x:c r="Q112" s="12"/>
      <x:c r="R112" s="12"/>
      <x:c r="S112" s="11" t="str"/>
      <x:c r="T112" s="11" t="str"/>
      <x:c r="U112" s="11" t="str"/>
    </x:row>
    <x:row r="113" ht="72" customHeight="1">
      <x:c r="A113" s="3" t="str">
        <x:v>EN-006</x:v>
      </x:c>
      <x:c r="B113" s="3" t="str">
        <x:v>P1</x:v>
      </x:c>
      <x:c r="C113" s="3" t="str">
        <x:v>영문</x:v>
      </x:c>
      <x:c r="D113" s="11" t="str">
        <x:v>N/A</x:v>
      </x:c>
      <x:c r="E113" s="11" t="str">
        <x:v>미실행</x:v>
      </x:c>
      <x:c r="F113" s="3" t="str">
        <x:v>언어 선택</x:v>
      </x:c>
      <x:c r="G113" s="3" t="str">
        <x:v>미지원 언어의 기본 표시</x:v>
      </x:c>
      <x:c r="H113" s="3" t="str">
        <x:v>EN</x:v>
      </x:c>
      <x:c r="I113" s="3" t="str">
        <x:v>Android APK·웹</x:v>
      </x:c>
      <x:c r="J113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3" s="3" t="str">
        <x:v>1. 일본어·프랑스어 시스템으로 최초 실행
2. 앱에서 한국어 수동 선택</x:v>
      </x:c>
      <x:c r="L113" s="3" t="str">
        <x:v>KO/EN 외 시스템 언어는 기본안인 English로 표시한다. 빈 문자열·리소스 key 없이 표시하고 사용자가 한국어를 선택할 수 있다.</x:v>
      </x:c>
      <x:c r="M113" s="3" t="str"/>
      <x:c r="N113" s="11" t="str"/>
      <x:c r="O113" s="11" t="str"/>
      <x:c r="P113" s="11" t="str"/>
      <x:c r="Q113" s="12"/>
      <x:c r="R113" s="12"/>
      <x:c r="S113" s="11" t="str"/>
      <x:c r="T113" s="11" t="str"/>
      <x:c r="U113" s="11" t="str"/>
    </x:row>
    <x:row r="114" ht="72" customHeight="1">
      <x:c r="A114" s="3" t="str">
        <x:v>EN-007</x:v>
      </x:c>
      <x:c r="B114" s="3" t="str">
        <x:v>P0</x:v>
      </x:c>
      <x:c r="C114" s="3" t="str">
        <x:v>영문</x:v>
      </x:c>
      <x:c r="D114" s="11" t="str">
        <x:v>N/A</x:v>
      </x:c>
      <x:c r="E114" s="11" t="str">
        <x:v>미실행</x:v>
      </x:c>
      <x:c r="F114" s="3" t="str">
        <x:v>전체 페이지</x:v>
      </x:c>
      <x:c r="G114" s="3" t="str">
        <x:v>12개 주요 페이지 영문 표시</x:v>
      </x:c>
      <x:c r="H114" s="3" t="str">
        <x:v>EN</x:v>
      </x:c>
      <x:c r="I114" s="3" t="str">
        <x:v>Android APK·웹</x:v>
      </x:c>
      <x:c r="J114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4" s="3" t="str">
        <x:v>1. 홈·로그인·내 여행·새 여행·상세·발자국·다이어리·커뮤니티·마이·초대·장소 가져오기·이전 기록 순회</x:v>
      </x:c>
      <x:c r="L114" s="3" t="str">
        <x:v>모든 서비스 제목·본문·탭·버튼이 영어다. 사용자 입력·장소 원문·브랜드·공항 코드·Google 출처는 원문 유지가 허용된다.</x:v>
      </x:c>
      <x:c r="M114" s="3" t="str"/>
      <x:c r="N114" s="11" t="str"/>
      <x:c r="O114" s="11" t="str"/>
      <x:c r="P114" s="11" t="str"/>
      <x:c r="Q114" s="12"/>
      <x:c r="R114" s="12"/>
      <x:c r="S114" s="11" t="str"/>
      <x:c r="T114" s="11" t="str"/>
      <x:c r="U114" s="11" t="str"/>
    </x:row>
    <x:row r="115" ht="72" customHeight="1">
      <x:c r="A115" s="3" t="str">
        <x:v>EN-008</x:v>
      </x:c>
      <x:c r="B115" s="3" t="str">
        <x:v>P0</x:v>
      </x:c>
      <x:c r="C115" s="3" t="str">
        <x:v>영문</x:v>
      </x:c>
      <x:c r="D115" s="11" t="str">
        <x:v>N/A</x:v>
      </x:c>
      <x:c r="E115" s="11" t="str">
        <x:v>미실행</x:v>
      </x:c>
      <x:c r="F115" s="3" t="str">
        <x:v>작성 폼</x:v>
      </x:c>
      <x:c r="G115" s="3" t="str">
        <x:v>폼·메뉴·달력·확인창 영문 표시</x:v>
      </x:c>
      <x:c r="H115" s="3" t="str">
        <x:v>EN</x:v>
      </x:c>
      <x:c r="I115" s="3" t="str">
        <x:v>Android APK·웹</x:v>
      </x:c>
      <x:c r="J115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5" s="3" t="str">
        <x:v>1. 가입·프로필·일정·비용·기간·게시·영수증 수정 폼 열기
2. 달력·시간·삭제 확인창 검사</x:v>
      </x:c>
      <x:c r="L115" s="3" t="str">
        <x:v>폼 label·placeholder·선택 옵션·입력 오류·확인창도 영어다. 화면 일부만 번역한 혼합 UI가 없다.</x:v>
      </x:c>
      <x:c r="M115" s="3" t="str"/>
      <x:c r="N115" s="11" t="str"/>
      <x:c r="O115" s="11" t="str"/>
      <x:c r="P115" s="11" t="str"/>
      <x:c r="Q115" s="12"/>
      <x:c r="R115" s="12"/>
      <x:c r="S115" s="11" t="str"/>
      <x:c r="T115" s="11" t="str"/>
      <x:c r="U115" s="11" t="str"/>
    </x:row>
    <x:row r="116" ht="72" customHeight="1">
      <x:c r="A116" s="3" t="str">
        <x:v>EN-009</x:v>
      </x:c>
      <x:c r="B116" s="3" t="str">
        <x:v>P0</x:v>
      </x:c>
      <x:c r="C116" s="3" t="str">
        <x:v>영문</x:v>
      </x:c>
      <x:c r="D116" s="11" t="str">
        <x:v>N/A</x:v>
      </x:c>
      <x:c r="E116" s="11" t="str">
        <x:v>미실행</x:v>
      </x:c>
      <x:c r="F116" s="3" t="str">
        <x:v>오류</x:v>
      </x:c>
      <x:c r="G116" s="3" t="str">
        <x:v>오프라인·만료·권한 오류 영어</x:v>
      </x:c>
      <x:c r="H116" s="3" t="str">
        <x:v>EN</x:v>
      </x:c>
      <x:c r="I116" s="3" t="str">
        <x:v>Android APK·웹</x:v>
      </x:c>
      <x:c r="J116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6" s="3" t="str">
        <x:v>1. 로그아웃·세션 만료·권한 거부·오프라인·시간초과 재현
2. 오류와 복귀 버튼 실행</x:v>
      </x:c>
      <x:c r="L116" s="3" t="str">
        <x:v>안전한 영어 오류와 실제 복구 행동이 보인다. API 원문·한국어 기본 오류·영문 stack을 표시하지 않는다. 영어 안내를 오류 필터가 잘못 제거하지 않는다.</x:v>
      </x:c>
      <x:c r="M116" s="3" t="str"/>
      <x:c r="N116" s="11" t="str"/>
      <x:c r="O116" s="11" t="str"/>
      <x:c r="P116" s="11" t="str"/>
      <x:c r="Q116" s="12"/>
      <x:c r="R116" s="12"/>
      <x:c r="S116" s="11" t="str"/>
      <x:c r="T116" s="11" t="str"/>
      <x:c r="U116" s="11" t="str"/>
    </x:row>
    <x:row r="117" ht="72" customHeight="1">
      <x:c r="A117" s="3" t="str">
        <x:v>EN-010</x:v>
      </x:c>
      <x:c r="B117" s="3" t="str">
        <x:v>P1</x:v>
      </x:c>
      <x:c r="C117" s="3" t="str">
        <x:v>영문</x:v>
      </x:c>
      <x:c r="D117" s="11" t="str">
        <x:v>N/A</x:v>
      </x:c>
      <x:c r="E117" s="11" t="str">
        <x:v>미실행</x:v>
      </x:c>
      <x:c r="F117" s="3" t="str">
        <x:v>하루</x:v>
      </x:c>
      <x:c r="G117" s="3" t="str">
        <x:v>로딩·빈 기록·오류 영어</x:v>
      </x:c>
      <x:c r="H117" s="3" t="str">
        <x:v>EN</x:v>
      </x:c>
      <x:c r="I117" s="3" t="str">
        <x:v>Android APK·웹</x:v>
      </x:c>
      <x:c r="J117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7" s="3" t="str">
        <x:v>1. 하루의 로딩·빈 피드·실패·없는 주소 화면 열기
2. 접근성 이름과 다음 행동 확인</x:v>
      </x:c>
      <x:c r="L117" s="3" t="str">
        <x:v>Haru 이름과 포즈는 유지되고 상태·설명·버튼·읽어주는 텍스트는 영어다. 캐릭터를 포함한 안내가 잘리지 않는다.</x:v>
      </x:c>
      <x:c r="M117" s="3" t="str"/>
      <x:c r="N117" s="11" t="str"/>
      <x:c r="O117" s="11" t="str"/>
      <x:c r="P117" s="11" t="str"/>
      <x:c r="Q117" s="12"/>
      <x:c r="R117" s="12"/>
      <x:c r="S117" s="11" t="str"/>
      <x:c r="T117" s="11" t="str"/>
      <x:c r="U117" s="11" t="str"/>
    </x:row>
    <x:row r="118" ht="72" customHeight="1">
      <x:c r="A118" s="3" t="str">
        <x:v>EN-011</x:v>
      </x:c>
      <x:c r="B118" s="3" t="str">
        <x:v>P0</x:v>
      </x:c>
      <x:c r="C118" s="3" t="str">
        <x:v>영문</x:v>
      </x:c>
      <x:c r="D118" s="11" t="str">
        <x:v>N/A</x:v>
      </x:c>
      <x:c r="E118" s="11" t="str">
        <x:v>미실행</x:v>
      </x:c>
      <x:c r="F118" s="3" t="str">
        <x:v>변수</x:v>
      </x:c>
      <x:c r="G118" s="3" t="str">
        <x:v>동적 값과 placeholder 치환</x:v>
      </x:c>
      <x:c r="H118" s="3" t="str">
        <x:v>EN</x:v>
      </x:c>
      <x:c r="I118" s="3" t="str">
        <x:v>Android APK·웹</x:v>
      </x:c>
      <x:c r="J118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8" s="3" t="str">
        <x:v>1. 여행자명·도시·DAY·메뉴 번호를 다른 값으로 변경
2. 확인·완료·오류 문구 읽기</x:v>
      </x:c>
      <x:c r="L118" s="3" t="str">
        <x:v>변수가 정확히 치환되고 {name}·%s·undefined가 없다. 영어 어순으로 표시되며 조사나 숫자를 문장에 임의 이어붙이지 않는다.</x:v>
      </x:c>
      <x:c r="M118" s="3" t="str"/>
      <x:c r="N118" s="11" t="str"/>
      <x:c r="O118" s="11" t="str"/>
      <x:c r="P118" s="11" t="str"/>
      <x:c r="Q118" s="12"/>
      <x:c r="R118" s="12"/>
      <x:c r="S118" s="11" t="str"/>
      <x:c r="T118" s="11" t="str"/>
      <x:c r="U118" s="11" t="str"/>
    </x:row>
    <x:row r="119" ht="72" customHeight="1">
      <x:c r="A119" s="3" t="str">
        <x:v>EN-012</x:v>
      </x:c>
      <x:c r="B119" s="3" t="str">
        <x:v>P1</x:v>
      </x:c>
      <x:c r="C119" s="3" t="str">
        <x:v>영문</x:v>
      </x:c>
      <x:c r="D119" s="11" t="str">
        <x:v>N/A</x:v>
      </x:c>
      <x:c r="E119" s="11" t="str">
        <x:v>미실행</x:v>
      </x:c>
      <x:c r="F119" s="3" t="str">
        <x:v>수량</x:v>
      </x:c>
      <x:c r="G119" s="3" t="str">
        <x:v>0·1·2개 복수형</x:v>
      </x:c>
      <x:c r="H119" s="3" t="str">
        <x:v>EN</x:v>
      </x:c>
      <x:c r="I119" s="3" t="str">
        <x:v>Android APK·웹</x:v>
      </x:c>
      <x:c r="J119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9" s="3" t="str">
        <x:v>1. 여행·사진·메뉴·기록 수를 0/1/2로 준비
2. 제목·본문·통계 비교</x:v>
      </x:c>
      <x:c r="L119" s="3" t="str">
        <x:v>영어 단수·복수 문법과 실제 개수가 맞다. 0개는 빈 기록 안내, 1개는 단수, 2개 이상은 복수다. 한국어 전환 후 수량도 유지한다.</x:v>
      </x:c>
      <x:c r="M119" s="3" t="str"/>
      <x:c r="N119" s="11" t="str"/>
      <x:c r="O119" s="11" t="str"/>
      <x:c r="P119" s="11" t="str"/>
      <x:c r="Q119" s="12"/>
      <x:c r="R119" s="12"/>
      <x:c r="S119" s="11" t="str"/>
      <x:c r="T119" s="11" t="str"/>
      <x:c r="U119" s="11" t="str"/>
    </x:row>
    <x:row r="120" ht="72" customHeight="1">
      <x:c r="A120" s="3" t="str">
        <x:v>EN-013</x:v>
      </x:c>
      <x:c r="B120" s="3" t="str">
        <x:v>P1</x:v>
      </x:c>
      <x:c r="C120" s="3" t="str">
        <x:v>영문</x:v>
      </x:c>
      <x:c r="D120" s="11" t="str">
        <x:v>N/A</x:v>
      </x:c>
      <x:c r="E120" s="11" t="str">
        <x:v>미실행</x:v>
      </x:c>
      <x:c r="F120" s="3" t="str">
        <x:v>브랜드</x:v>
      </x:c>
      <x:c r="G120" s="3" t="str">
        <x:v>브랜드·발자국 용어 일관성</x:v>
      </x:c>
      <x:c r="H120" s="3" t="str">
        <x:v>EN</x:v>
      </x:c>
      <x:c r="I120" s="3" t="str">
        <x:v>Android APK·웹</x:v>
      </x:c>
      <x:c r="J120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0" s="3" t="str">
        <x:v>1. 홈·다이어리·마이·공유 문구 확인
2. 문구 기준과 대조</x:v>
      </x:c>
      <x:c r="L120" s="3" t="str">
        <x:v>TripPrint·Haru·Footprints를 일관되게 쓴다. 브랜드명·Google Maps를 번역하거나 다른 이름으로 바꾸지 않는다.</x:v>
      </x:c>
      <x:c r="M120" s="3" t="str"/>
      <x:c r="N120" s="11" t="str"/>
      <x:c r="O120" s="11" t="str"/>
      <x:c r="P120" s="11" t="str"/>
      <x:c r="Q120" s="12"/>
      <x:c r="R120" s="12"/>
      <x:c r="S120" s="11" t="str"/>
      <x:c r="T120" s="11" t="str"/>
      <x:c r="U120" s="11" t="str"/>
    </x:row>
    <x:row r="121" ht="72" customHeight="1">
      <x:c r="A121" s="3" t="str">
        <x:v>EN-014</x:v>
      </x:c>
      <x:c r="B121" s="3" t="str">
        <x:v>P1</x:v>
      </x:c>
      <x:c r="C121" s="3" t="str">
        <x:v>영문</x:v>
      </x:c>
      <x:c r="D121" s="11" t="str">
        <x:v>N/A</x:v>
      </x:c>
      <x:c r="E121" s="11" t="str">
        <x:v>미실행</x:v>
      </x:c>
      <x:c r="F121" s="3" t="str">
        <x:v>레이아웃</x:v>
      </x:c>
      <x:c r="G121" s="3" t="str">
        <x:v>긴 영문과 번역 확장</x:v>
      </x:c>
      <x:c r="H121" s="3" t="str">
        <x:v>EN</x:v>
      </x:c>
      <x:c r="I121" s="3" t="str">
        <x:v>Android APK·웹</x:v>
      </x:c>
      <x:c r="J121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1" s="3" t="str">
        <x:v>1. 기본 영어와 40% 이상 늘린 QA 문자열 표시
2. 320/360/390dp에서 폼·탭·CTA 확인</x:v>
      </x:c>
      <x:c r="L121" s="3" t="str">
        <x:v>문장이 늘어도 의미·금액·버튼이 겹치거나 잘리지 않는다. 폰트를 지나치게 줄여 맞추지 않으며 필요한 본문을 스크롤할 수 있다.</x:v>
      </x:c>
      <x:c r="M121" s="3" t="str"/>
      <x:c r="N121" s="11" t="str"/>
      <x:c r="O121" s="11" t="str"/>
      <x:c r="P121" s="11" t="str"/>
      <x:c r="Q121" s="12"/>
      <x:c r="R121" s="12"/>
      <x:c r="S121" s="11" t="str"/>
      <x:c r="T121" s="11" t="str"/>
      <x:c r="U121" s="11" t="str"/>
    </x:row>
    <x:row r="122" ht="72" customHeight="1">
      <x:c r="A122" s="3" t="str">
        <x:v>EN-015</x:v>
      </x:c>
      <x:c r="B122" s="3" t="str">
        <x:v>P1</x:v>
      </x:c>
      <x:c r="C122" s="3" t="str">
        <x:v>영문</x:v>
      </x:c>
      <x:c r="D122" s="11" t="str">
        <x:v>N/A</x:v>
      </x:c>
      <x:c r="E122" s="11" t="str">
        <x:v>미실행</x:v>
      </x:c>
      <x:c r="F122" s="3" t="str">
        <x:v>접근성</x:v>
      </x:c>
      <x:c r="G122" s="3" t="str">
        <x:v>영문 큰 글씨와 화면 읽기</x:v>
      </x:c>
      <x:c r="H122" s="3" t="str">
        <x:v>EN</x:v>
      </x:c>
      <x:c r="I122" s="3" t="str">
        <x:v>Android APK·웹</x:v>
      </x:c>
      <x:c r="J122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2" s="3" t="str">
        <x:v>1. English에서 글자 크기 200%
2. TalkBack/VoiceOver로 입력·오류·아이콘 탐색</x:v>
      </x:c>
      <x:c r="L122" s="3" t="str">
        <x:v>핵심 정보와 CTA를 읽고 조작할 수 있다. 접근성 이름도 영어이며 원어 장소명이 임의 변형되지 않는다.</x:v>
      </x:c>
      <x:c r="M122" s="3" t="str"/>
      <x:c r="N122" s="11" t="str"/>
      <x:c r="O122" s="11" t="str"/>
      <x:c r="P122" s="11" t="str"/>
      <x:c r="Q122" s="12"/>
      <x:c r="R122" s="12"/>
      <x:c r="S122" s="11" t="str"/>
      <x:c r="T122" s="11" t="str"/>
      <x:c r="U122" s="11" t="str"/>
    </x:row>
    <x:row r="123" ht="72" customHeight="1">
      <x:c r="A123" s="3" t="str">
        <x:v>EN-016</x:v>
      </x:c>
      <x:c r="B123" s="3" t="str">
        <x:v>P0</x:v>
      </x:c>
      <x:c r="C123" s="3" t="str">
        <x:v>영문</x:v>
      </x:c>
      <x:c r="D123" s="11" t="str">
        <x:v>N/A</x:v>
      </x:c>
      <x:c r="E123" s="11" t="str">
        <x:v>미실행</x:v>
      </x:c>
      <x:c r="F123" s="3" t="str">
        <x:v>날짜</x:v>
      </x:c>
      <x:c r="G123" s="3" t="str">
        <x:v>미국·영국 기기의 날짜 해석</x:v>
      </x:c>
      <x:c r="H123" s="3" t="str">
        <x:v>EN</x:v>
      </x:c>
      <x:c r="I123" s="3" t="str">
        <x:v>Android APK·웹</x:v>
      </x:c>
      <x:c r="J123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3" s="3" t="str">
        <x:v>1. en-US와 en-GB 기기에서 2026-09-28 선택
2. 달력·DAY·영수증·다이어리 비교</x:v>
      </x:c>
      <x:c r="L123" s="3" t="str">
        <x:v>선택한 실제 날짜는 모두 2026-09-28이다. 월·일을 뒤집지 않는다. 서비스 표시 기본안은 Sep 28, 2026 또는 ISO 날짜처럼 혼동이 적은 형식이다.</x:v>
      </x:c>
      <x:c r="M123" s="3" t="str"/>
      <x:c r="N123" s="11" t="str"/>
      <x:c r="O123" s="11" t="str"/>
      <x:c r="P123" s="11" t="str"/>
      <x:c r="Q123" s="12"/>
      <x:c r="R123" s="12"/>
      <x:c r="S123" s="11" t="str"/>
      <x:c r="T123" s="11" t="str"/>
      <x:c r="U123" s="11" t="str"/>
    </x:row>
    <x:row r="124" ht="72" customHeight="1">
      <x:c r="A124" s="3" t="str">
        <x:v>EN-017</x:v>
      </x:c>
      <x:c r="B124" s="3" t="str">
        <x:v>P0</x:v>
      </x:c>
      <x:c r="C124" s="3" t="str">
        <x:v>영문</x:v>
      </x:c>
      <x:c r="D124" s="11" t="str">
        <x:v>N/A</x:v>
      </x:c>
      <x:c r="E124" s="11" t="str">
        <x:v>미실행</x:v>
      </x:c>
      <x:c r="F124" s="3" t="str">
        <x:v>시간대</x:v>
      </x:c>
      <x:c r="G124" s="3" t="str">
        <x:v>언어와 여행 현지 시간 독립</x:v>
      </x:c>
      <x:c r="H124" s="3" t="str">
        <x:v>EN</x:v>
      </x:c>
      <x:c r="I124" s="3" t="str">
        <x:v>Android APK·웹</x:v>
      </x:c>
      <x:c r="J124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4" s="3" t="str">
        <x:v>1. 기기 시간을 서울·런던으로 변경
2. English에서 TD-02 결제 일시 확인
3. 한국어 전환 후 비교</x:v>
      </x:c>
      <x:c r="L124" s="3" t="str">
        <x:v>여행 현지 결제는 9월 28일 16:36 및 DAY3로 유지된다. UI 언어·기기 시간대 변경 때문에 27일·29일로 이동하지 않는다.</x:v>
      </x:c>
      <x:c r="M124" s="3" t="str"/>
      <x:c r="N124" s="11" t="str"/>
      <x:c r="O124" s="11" t="str"/>
      <x:c r="P124" s="11" t="str"/>
      <x:c r="Q124" s="12"/>
      <x:c r="R124" s="12"/>
      <x:c r="S124" s="11" t="str"/>
      <x:c r="T124" s="11" t="str"/>
      <x:c r="U124" s="11" t="str"/>
    </x:row>
    <x:row r="125" ht="72" customHeight="1">
      <x:c r="A125" s="3" t="str">
        <x:v>EN-018</x:v>
      </x:c>
      <x:c r="B125" s="3" t="str">
        <x:v>P0</x:v>
      </x:c>
      <x:c r="C125" s="3" t="str">
        <x:v>영문</x:v>
      </x:c>
      <x:c r="D125" s="11" t="str">
        <x:v>N/A</x:v>
      </x:c>
      <x:c r="E125" s="11" t="str">
        <x:v>미실행</x:v>
      </x:c>
      <x:c r="F125" s="3" t="str">
        <x:v>금액</x:v>
      </x:c>
      <x:c r="G125" s="3" t="str">
        <x:v>통화와 소수점 표시·입력</x:v>
      </x:c>
      <x:c r="H125" s="3" t="str">
        <x:v>EN</x:v>
      </x:c>
      <x:c r="I125" s="3" t="str">
        <x:v>Android APK·웹</x:v>
      </x:c>
      <x:c r="J125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5" s="3" t="str">
        <x:v>1. USD 12.34·1234.56과 JPY 2450 입력
2. English/한국어 전환
3. 합계·재조회 확인</x:v>
      </x:c>
      <x:c r="L125" s="3" t="str">
        <x:v>소수 단위와 통화를 정확히 유지한다. 표시의 천 단위 구분을 실제 숫자로 잘못 저장하지 않는다. USD cents와 JPY 정수 정책이 같고 통화를 임의 환산하지 않는다.</x:v>
      </x:c>
      <x:c r="M125" s="3" t="str"/>
      <x:c r="N125" s="11" t="str"/>
      <x:c r="O125" s="11" t="str"/>
      <x:c r="P125" s="11" t="str"/>
      <x:c r="Q125" s="12"/>
      <x:c r="R125" s="12"/>
      <x:c r="S125" s="11" t="str"/>
      <x:c r="T125" s="11" t="str"/>
      <x:c r="U125" s="11" t="str"/>
    </x:row>
    <x:row r="126" ht="72" customHeight="1">
      <x:c r="A126" s="3" t="str">
        <x:v>EN-019</x:v>
      </x:c>
      <x:c r="B126" s="3" t="str">
        <x:v>P1</x:v>
      </x:c>
      <x:c r="C126" s="3" t="str">
        <x:v>영문</x:v>
      </x:c>
      <x:c r="D126" s="11" t="str">
        <x:v>N/A</x:v>
      </x:c>
      <x:c r="E126" s="11" t="str">
        <x:v>미실행</x:v>
      </x:c>
      <x:c r="F126" s="3" t="str">
        <x:v>목적지 검색</x:v>
      </x:c>
      <x:c r="G126" s="3" t="str">
        <x:v>영문 국가·도시·공항 검색</x:v>
      </x:c>
      <x:c r="H126" s="3" t="str">
        <x:v>EN</x:v>
      </x:c>
      <x:c r="I126" s="3" t="str">
        <x:v>Android APK·웹</x:v>
      </x:c>
      <x:c r="J126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6" s="3" t="str">
        <x:v>1. Japan/Tokyo/Osaka/KIX와 Korea/Seoul/ICN 검색
2. 목적지·항공 선택 후 저장</x:v>
      </x:c>
      <x:c r="L126" s="3" t="str">
        <x:v>영문 검색으로 올바른 나라·도시·공항을 찾는다. IATA 코드와 장소 ID는 언어에 따라 바뀌지 않으며 동일 여행에 저장한다.</x:v>
      </x:c>
      <x:c r="M126" s="3" t="str"/>
      <x:c r="N126" s="11" t="str"/>
      <x:c r="O126" s="11" t="str"/>
      <x:c r="P126" s="11" t="str"/>
      <x:c r="Q126" s="12"/>
      <x:c r="R126" s="12"/>
      <x:c r="S126" s="11" t="str"/>
      <x:c r="T126" s="11" t="str"/>
      <x:c r="U126" s="11" t="str"/>
    </x:row>
    <x:row r="127" ht="72" customHeight="1">
      <x:c r="A127" s="3" t="str">
        <x:v>EN-020</x:v>
      </x:c>
      <x:c r="B127" s="3" t="str">
        <x:v>P0</x:v>
      </x:c>
      <x:c r="C127" s="3" t="str">
        <x:v>영문</x:v>
      </x:c>
      <x:c r="D127" s="11" t="str">
        <x:v>N/A</x:v>
      </x:c>
      <x:c r="E127" s="11" t="str">
        <x:v>미실행</x:v>
      </x:c>
      <x:c r="F127" s="3" t="str">
        <x:v>사용자 원문</x:v>
      </x:c>
      <x:c r="G127" s="3" t="str">
        <x:v>다국어 원문 데이터 보존</x:v>
      </x:c>
      <x:c r="H127" s="3" t="str">
        <x:v>EN</x:v>
      </x:c>
      <x:c r="I127" s="3" t="str">
        <x:v>Android APK·웹</x:v>
      </x:c>
      <x:c r="J127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7" s="3" t="str">
        <x:v>1. TD-06 일본어 메뉴·한국어 이름·악센트·이모지 입력
2. UI 언어 전환 후 저장·조회</x:v>
      </x:c>
      <x:c r="L127" s="3" t="str">
        <x:v>사용자 이름·주소·메뉴·메모는 원문을 보존한다. UI를 영어로 바꿨다는 이유로 사용자 콘텐츠를 자동 번역·삭제하거나 검색 불가능하게 하지 않는다.</x:v>
      </x:c>
      <x:c r="M127" s="3" t="str"/>
      <x:c r="N127" s="11" t="str"/>
      <x:c r="O127" s="11" t="str"/>
      <x:c r="P127" s="11" t="str"/>
      <x:c r="Q127" s="12"/>
      <x:c r="R127" s="12"/>
      <x:c r="S127" s="11" t="str"/>
      <x:c r="T127" s="11" t="str"/>
      <x:c r="U127" s="11" t="str"/>
    </x:row>
    <x:row r="128" ht="72" customHeight="1">
      <x:c r="A128" s="3" t="str">
        <x:v>EN-021</x:v>
      </x:c>
      <x:c r="B128" s="3" t="str">
        <x:v>P0</x:v>
      </x:c>
      <x:c r="C128" s="3" t="str">
        <x:v>영문</x:v>
      </x:c>
      <x:c r="D128" s="11" t="str">
        <x:v>N/A</x:v>
      </x:c>
      <x:c r="E128" s="11" t="str">
        <x:v>미실행</x:v>
      </x:c>
      <x:c r="F128" s="3" t="str">
        <x:v>영수증</x:v>
      </x:c>
      <x:c r="G128" s="3" t="str">
        <x:v>영문 영수증 인식과 총액</x:v>
      </x:c>
      <x:c r="H128" s="3" t="str">
        <x:v>EN</x:v>
      </x:c>
      <x:c r="I128" s="3" t="str">
        <x:v>Android APK·웹</x:v>
      </x:c>
      <x:c r="J128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8" s="3" t="str">
        <x:v>1. TD-08 영문 영수증 스캔
2. merchant/address/date/time/items/subtotal/tax/tip/total 대조
3. 확인 후 등록</x:v>
      </x:c>
      <x:c r="L128" s="3" t="str">
        <x:v>필드를 자동 추출하고 총 결제액 USD 25.30을 지출로 남긴다. subtotal/tax/tip을 total에 다시 더하거나 cash/change를 지출로 읽지 않는다.</x:v>
      </x:c>
      <x:c r="M128" s="3" t="str"/>
      <x:c r="N128" s="11" t="str"/>
      <x:c r="O128" s="11" t="str"/>
      <x:c r="P128" s="11" t="str"/>
      <x:c r="Q128" s="12"/>
      <x:c r="R128" s="12"/>
      <x:c r="S128" s="11" t="str"/>
      <x:c r="T128" s="11" t="str"/>
      <x:c r="U128" s="11" t="str"/>
    </x:row>
    <x:row r="129" ht="72" customHeight="1">
      <x:c r="A129" s="3" t="str">
        <x:v>EN-022</x:v>
      </x:c>
      <x:c r="B129" s="3" t="str">
        <x:v>P0</x:v>
      </x:c>
      <x:c r="C129" s="3" t="str">
        <x:v>영문</x:v>
      </x:c>
      <x:c r="D129" s="11" t="str">
        <x:v>N/A</x:v>
      </x:c>
      <x:c r="E129" s="11" t="str">
        <x:v>미실행</x:v>
      </x:c>
      <x:c r="F129" s="3" t="str">
        <x:v>영수증</x:v>
      </x:c>
      <x:c r="G129" s="3" t="str">
        <x:v>일본어 영수증과 영문 UI</x:v>
      </x:c>
      <x:c r="H129" s="3" t="str">
        <x:v>EN</x:v>
      </x:c>
      <x:c r="I129" s="3" t="str">
        <x:v>Android APK·웹</x:v>
      </x:c>
      <x:c r="J129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9" s="3" t="str">
        <x:v>1. English UI에서 TD-02 스캔
2. 인식 확인·오독 항목 수정
3. 등록·다이어리 조회</x:v>
      </x:c>
      <x:c r="L129" s="3" t="str">
        <x:v>UI 안내는 영어지만 상호·일본어 주소·메뉴 원문을 유지한다. 결제 2026-09-28 16:36·JPY 2450·DAY3를 보존한다.</x:v>
      </x:c>
      <x:c r="M129" s="3" t="str"/>
      <x:c r="N129" s="11" t="str"/>
      <x:c r="O129" s="11" t="str"/>
      <x:c r="P129" s="11" t="str"/>
      <x:c r="Q129" s="12"/>
      <x:c r="R129" s="12"/>
      <x:c r="S129" s="11" t="str"/>
      <x:c r="T129" s="11" t="str"/>
      <x:c r="U129" s="11" t="str"/>
    </x:row>
    <x:row r="130" ht="72" customHeight="1">
      <x:c r="A130" s="3" t="str">
        <x:v>EN-023</x:v>
      </x:c>
      <x:c r="B130" s="3" t="str">
        <x:v>P1</x:v>
      </x:c>
      <x:c r="C130" s="3" t="str">
        <x:v>영문</x:v>
      </x:c>
      <x:c r="D130" s="11" t="str">
        <x:v>N/A</x:v>
      </x:c>
      <x:c r="E130" s="11" t="str">
        <x:v>미실행</x:v>
      </x:c>
      <x:c r="F130" s="3" t="str">
        <x:v>영수증</x:v>
      </x:c>
      <x:c r="G130" s="3" t="str">
        <x:v>한국어 영수증과 영문 UI</x:v>
      </x:c>
      <x:c r="H130" s="3" t="str">
        <x:v>EN</x:v>
      </x:c>
      <x:c r="I130" s="3" t="str">
        <x:v>Android APK·웹</x:v>
      </x:c>
      <x:c r="J130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30" s="3" t="str">
        <x:v>1. English UI에서 TD-09 한국어 영수증 스캔
2. 자동 인식 결과 확인·등록</x:v>
      </x:c>
      <x:c r="L130" s="3" t="str">
        <x:v>UI는 영어이며 한국어 상호·메뉴 원문이 남는다. KRW 정수 합계 18000과 결제일·DAY가 맞고 전부 영어로 재입력하라고 요구하지 않는다.</x:v>
      </x:c>
      <x:c r="M130" s="3" t="str"/>
      <x:c r="N130" s="11" t="str"/>
      <x:c r="O130" s="11" t="str"/>
      <x:c r="P130" s="11" t="str"/>
      <x:c r="Q130" s="12"/>
      <x:c r="R130" s="12"/>
      <x:c r="S130" s="11" t="str"/>
      <x:c r="T130" s="11" t="str"/>
      <x:c r="U130" s="11" t="str"/>
    </x:row>
    <x:row r="131" ht="72" customHeight="1">
      <x:c r="A131" s="3" t="str">
        <x:v>EN-024</x:v>
      </x:c>
      <x:c r="B131" s="3" t="str">
        <x:v>P0</x:v>
      </x:c>
      <x:c r="C131" s="3" t="str">
        <x:v>영문</x:v>
      </x:c>
      <x:c r="D131" s="11" t="str">
        <x:v>N/A</x:v>
      </x:c>
      <x:c r="E131" s="11" t="str">
        <x:v>미실행</x:v>
      </x:c>
      <x:c r="F131" s="3" t="str">
        <x:v>네이티브</x:v>
      </x:c>
      <x:c r="G131" s="3" t="str">
        <x:v>OS 권한·공유·설치 이름 영어</x:v>
      </x:c>
      <x:c r="H131" s="3" t="str">
        <x:v>EN</x:v>
      </x:c>
      <x:c r="I131" s="3" t="str">
        <x:v>Android APK·iOS 기기</x:v>
      </x:c>
      <x:c r="J131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31" s="3" t="str">
        <x:v>1. 영문 Android/iOS에서 첫 사진·카메라 권한 요청
2. 거부·허용·공유 시트 확인</x:v>
      </x:c>
      <x:c r="L131" s="3" t="str">
        <x:v>OS 표준 버튼은 시스템 언어를 따른다. 앱이 제공한 목적 설명·거부 후 안내는 영어이며 TripPrint 설치 이름·공유 대상·Haru 브랜드가 유지된다. iOS 권한은 로컬 문자열 제공을 별도로 확인한다.</x:v>
      </x:c>
      <x:c r="M131" s="3" t="str"/>
      <x:c r="N131" s="11" t="str"/>
      <x:c r="O131" s="11" t="str"/>
      <x:c r="P131" s="11" t="str"/>
      <x:c r="Q131" s="12"/>
      <x:c r="R131" s="12"/>
      <x:c r="S131" s="11" t="str"/>
      <x:c r="T131" s="11" t="str"/>
      <x:c r="U131" s="11" t="str"/>
    </x:row>
    <x:row r="132" ht="72" customHeight="1">
      <x:c r="A132" s="3" t="str">
        <x:v>EN-025</x:v>
      </x:c>
      <x:c r="B132" s="3" t="str">
        <x:v>P0</x:v>
      </x:c>
      <x:c r="C132" s="3" t="str">
        <x:v>영문</x:v>
      </x:c>
      <x:c r="D132" s="11" t="str">
        <x:v>N/A</x:v>
      </x:c>
      <x:c r="E132" s="11" t="str">
        <x:v>미실행</x:v>
      </x:c>
      <x:c r="F132" s="3" t="str">
        <x:v>복귀</x:v>
      </x:c>
      <x:c r="G132" s="3" t="str">
        <x:v>영문 상태의 초대·지도 공유 복귀</x:v>
      </x:c>
      <x:c r="H132" s="3" t="str">
        <x:v>EN</x:v>
      </x:c>
      <x:c r="I132" s="3" t="str">
        <x:v>Android APK·웹</x:v>
      </x:c>
      <x:c r="J132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32" s="3" t="str">
        <x:v>1. English 상태로 앱 종료
2. 초대 또는 Google Maps 공유로 실행
3. 로그인 후 후보 확인·참여/등록</x:v>
      </x:c>
      <x:c r="L132" s="3" t="str">
        <x:v>언어·공유 후보·대상 여행을 유지한다. 한국어 화면으로 갑자기 되돌아가지 않고 사용자 확인 후 실제 참여·등록한다.</x:v>
      </x:c>
      <x:c r="M132" s="3" t="str"/>
      <x:c r="N132" s="11" t="str"/>
      <x:c r="O132" s="11" t="str"/>
      <x:c r="P132" s="11" t="str"/>
      <x:c r="Q132" s="12"/>
      <x:c r="R132" s="12"/>
      <x:c r="S132" s="11" t="str"/>
      <x:c r="T132" s="11" t="str"/>
      <x:c r="U132" s="11" t="str"/>
    </x:row>
    <x:row r="133" ht="72" customHeight="1">
      <x:c r="A133" s="3" t="str">
        <x:v>EN-026</x:v>
      </x:c>
      <x:c r="B133" s="3" t="str">
        <x:v>P1</x:v>
      </x:c>
      <x:c r="C133" s="3" t="str">
        <x:v>영문</x:v>
      </x:c>
      <x:c r="D133" s="11" t="str">
        <x:v>N/A</x:v>
      </x:c>
      <x:c r="E133" s="11" t="str">
        <x:v>미실행</x:v>
      </x:c>
      <x:c r="F133" s="3" t="str">
        <x:v>커뮤니티</x:v>
      </x:c>
      <x:c r="G133" s="3" t="str">
        <x:v>다국어 게시글과 UI 분리</x:v>
      </x:c>
      <x:c r="H133" s="3" t="str">
        <x:v>EN</x:v>
      </x:c>
      <x:c r="I133" s="3" t="str">
        <x:v>Android APK·웹</x:v>
      </x:c>
      <x:c r="J133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33" s="3" t="str">
        <x:v>1. 한국어·일본어 원문 게시글 준비
2. English 피드·신고·차단·공개 선택 열기</x:v>
      </x:c>
      <x:c r="L133" s="3" t="str">
        <x:v>서비스 UI·신고 사유·버튼은 영어다. 게시글·장소·사용자 콘텐츠는 원문으로 보이며 UI 미번역과 구별한다. 공개 범위 선택은 언어와 무관하게 동일하다.</x:v>
      </x:c>
      <x:c r="M133" s="3" t="str"/>
      <x:c r="N133" s="11" t="str"/>
      <x:c r="O133" s="11" t="str"/>
      <x:c r="P133" s="11" t="str"/>
      <x:c r="Q133" s="12"/>
      <x:c r="R133" s="12"/>
      <x:c r="S133" s="11" t="str"/>
      <x:c r="T133" s="11" t="str"/>
      <x:c r="U133" s="11" t="str"/>
    </x:row>
  </x:sheetData>
  <x:conditionalFormatting sqref="D6:D133">
    <x:cfRule type="containsText" dxfId="0" priority="1" operator="containsText" text="실패"/>
    <x:cfRule type="containsText" dxfId="1" priority="2" operator="containsText" text="차단"/>
    <x:cfRule type="containsText" dxfId="2" priority="3" operator="containsText" text="N/A"/>
  </x:conditionalFormatting>
  <x:conditionalFormatting sqref="E6:E133">
    <x:cfRule type="containsText" dxfId="3" priority="4" operator="containsText" text="실패"/>
    <x:cfRule type="containsText" dxfId="4" priority="5" operator="containsText" text="차단"/>
    <x:cfRule type="containsText" dxfId="5" priority="6" operator="containsText" text="N/A"/>
  </x:conditionalFormatting>
  <x:dataValidations count="2">
    <x:dataValidation type="list" sqref="D6:E133">
      <x:formula1>"미실행,통과,실패,차단,N/A"</x:formula1>
    </x:dataValidation>
    <x:dataValidation type="list" sqref="U6:U133">
      <x:formula1>"S0,S1,S2"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49c0293cce463e"/>
  </x:tableParts>
</x:worksheet>
</file>

<file path=xl/worksheets/sheet3.xml><?xml version="1.0" encoding="utf-8"?>
<x:worksheet xmlns:x="http://schemas.openxmlformats.org/spreadsheetml/2006/main">
  <x:sheetPr>
    <x:tabColor rgb="FFAEB8C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20" hidden="0" customWidth="1"/>
    <x:col min="3" max="3" width="50" hidden="0" customWidth="1"/>
    <x:col min="4" max="4" width="55" hidden="0" customWidth="1"/>
    <x:col min="5" max="5" width="38.75" hidden="0" customWidth="1"/>
    <x:col min="6" max="6" width="22.5" hidden="0" customWidth="1"/>
  </x:cols>
  <x:sheetData>
    <x:row r="1">
      <x:c r="A1" s="3"/>
      <x:c r="B1" s="3"/>
      <x:c r="C1" s="3"/>
      <x:c r="D1" s="3"/>
      <x:c r="E1" s="3"/>
      <x:c r="F1" s="3"/>
    </x:row>
    <x:row r="2" ht="25.5" customHeight="1">
      <x:c r="A2" s="18" t="str">
        <x:v>한국어·영문 문구 기준</x:v>
      </x:c>
      <x:c r="B2" s="3"/>
      <x:c r="C2" s="3"/>
      <x:c r="D2" s="3"/>
      <x:c r="E2" s="3"/>
      <x:c r="F2" s="3"/>
    </x:row>
    <x:row r="3">
      <x:c r="A3" s="5"/>
      <x:c r="B3" s="5"/>
      <x:c r="C3" s="5"/>
      <x:c r="D3" s="5"/>
      <x:c r="E3" s="5"/>
      <x:c r="F3" s="5"/>
    </x:row>
    <x:row r="4">
      <x:c r="A4" s="6" t="str">
        <x:v>한국어는 현재 화면 기준, 영어는 출시 검토용 초안입니다. 제품 문구 확정 후 이 기준을 갱신합니다.</x:v>
      </x:c>
      <x:c r="B4" s="3"/>
      <x:c r="C4" s="3"/>
      <x:c r="D4" s="3"/>
      <x:c r="E4" s="3"/>
      <x:c r="F4" s="3"/>
    </x:row>
    <x:row r="5" ht="34.5" customHeight="1">
      <x:c r="A5" s="10" t="str">
        <x:v>문구 ID</x:v>
      </x:c>
      <x:c r="B5" s="10" t="str">
        <x:v>화면·상황</x:v>
      </x:c>
      <x:c r="C5" s="10" t="str">
        <x:v>한국어 기준</x:v>
      </x:c>
      <x:c r="D5" s="10" t="str">
        <x:v>English draft</x:v>
      </x:c>
      <x:c r="E5" s="10" t="str">
        <x:v>검사 기준</x:v>
      </x:c>
      <x:c r="F5" s="10" t="str">
        <x:v>확정 여부</x:v>
      </x:c>
    </x:row>
    <x:row r="6" ht="55.5" customHeight="1">
      <x:c r="A6" s="3" t="str">
        <x:v>AUTH.CONTINUE</x:v>
      </x:c>
      <x:c r="B6" s="3" t="str">
        <x:v>로그인</x:v>
      </x:c>
      <x:c r="C6" s="3" t="str">
        <x:v>이메일로 계속하기</x:v>
      </x:c>
      <x:c r="D6" s="3" t="str">
        <x:v>Continue with email</x:v>
      </x:c>
      <x:c r="E6" s="3" t="str">
        <x:v>의미·다음 행동·말투 일치. 원문 사용자 데이터/브랜드/단위를 임의 번역하지 않음.</x:v>
      </x:c>
      <x:c r="F6" s="3" t="str">
        <x:v>KO 현재 / EN 초안</x:v>
      </x:c>
    </x:row>
    <x:row r="7" ht="55.5" customHeight="1">
      <x:c r="A7" s="3" t="str">
        <x:v>AUTH.GUEST</x:v>
      </x:c>
      <x:c r="B7" s="3" t="str">
        <x:v>로그인</x:v>
      </x:c>
      <x:c r="C7" s="3" t="str">
        <x:v>로그인 없이 둘러보기</x:v>
      </x:c>
      <x:c r="D7" s="3" t="str">
        <x:v>Explore without signing in</x:v>
      </x:c>
      <x:c r="E7" s="3" t="str">
        <x:v>의미·다음 행동·말투 일치. 원문 사용자 데이터/브랜드/단위를 임의 번역하지 않음.</x:v>
      </x:c>
      <x:c r="F7" s="3" t="str">
        <x:v>KO 현재 / EN 초안</x:v>
      </x:c>
    </x:row>
    <x:row r="8" ht="55.5" customHeight="1">
      <x:c r="A8" s="3" t="str">
        <x:v>AUTH.BENEFIT</x:v>
      </x:c>
      <x:c r="B8" s="3" t="str">
        <x:v>로그인</x:v>
      </x:c>
      <x:c r="C8" s="3" t="str">
        <x:v>로그인하면 여행을 저장하고 친구와 함께 계획할 수 있어요.</x:v>
      </x:c>
      <x:c r="D8" s="3" t="str">
        <x:v>Sign in to save your trips and plan with friends.</x:v>
      </x:c>
      <x:c r="E8" s="3" t="str">
        <x:v>의미·다음 행동·말투 일치. 원문 사용자 데이터/브랜드/단위를 임의 번역하지 않음.</x:v>
      </x:c>
      <x:c r="F8" s="3" t="str">
        <x:v>KO 현재 / EN 초안</x:v>
      </x:c>
    </x:row>
    <x:row r="9" ht="55.5" customHeight="1">
      <x:c r="A9" s="3" t="str">
        <x:v>AUTH.LOGIN</x:v>
      </x:c>
      <x:c r="B9" s="3" t="str">
        <x:v>로그인</x:v>
      </x:c>
      <x:c r="C9" s="3" t="str">
        <x:v>이메일로 로그인</x:v>
      </x:c>
      <x:c r="D9" s="3" t="str">
        <x:v>Sign in with email</x:v>
      </x:c>
      <x:c r="E9" s="3" t="str">
        <x:v>의미·다음 행동·말투 일치. 원문 사용자 데이터/브랜드/단위를 임의 번역하지 않음.</x:v>
      </x:c>
      <x:c r="F9" s="3" t="str">
        <x:v>KO 현재 / EN 초안</x:v>
      </x:c>
    </x:row>
    <x:row r="10" ht="55.5" customHeight="1">
      <x:c r="A10" s="3" t="str">
        <x:v>AUTH.SIGNUP</x:v>
      </x:c>
      <x:c r="B10" s="3" t="str">
        <x:v>회원가입</x:v>
      </x:c>
      <x:c r="C10" s="3" t="str">
        <x:v>여행자 회원가입</x:v>
      </x:c>
      <x:c r="D10" s="3" t="str">
        <x:v>Create your TripPrint account</x:v>
      </x:c>
      <x:c r="E10" s="3" t="str">
        <x:v>의미·다음 행동·말투 일치. 원문 사용자 데이터/브랜드/단위를 임의 번역하지 않음.</x:v>
      </x:c>
      <x:c r="F10" s="3" t="str">
        <x:v>KO 현재 / EN 초안</x:v>
      </x:c>
    </x:row>
    <x:row r="11" ht="55.5" customHeight="1">
      <x:c r="A11" s="3" t="str">
        <x:v>AUTH.RECOVERY</x:v>
      </x:c>
      <x:c r="B11" s="3" t="str">
        <x:v>로그인 복귀</x:v>
      </x:c>
      <x:c r="C11" s="3" t="str">
        <x:v>다시 로그인해 주세요. 이메일로 여행을 이어갈 수 있어요.</x:v>
      </x:c>
      <x:c r="D11" s="3" t="str">
        <x:v>Sign in again with your email to continue your trip.</x:v>
      </x:c>
      <x:c r="E11" s="3" t="str">
        <x:v>의미·다음 행동·말투 일치. 원문 사용자 데이터/브랜드/단위를 임의 번역하지 않음.</x:v>
      </x:c>
      <x:c r="F11" s="3" t="str">
        <x:v>KO 현재 / EN 초안</x:v>
      </x:c>
    </x:row>
    <x:row r="12" ht="55.5" customHeight="1">
      <x:c r="A12" s="3" t="str">
        <x:v>AUTH.RETURN</x:v>
      </x:c>
      <x:c r="B12" s="3" t="str">
        <x:v>로그인 복귀</x:v>
      </x:c>
      <x:c r="C12" s="3" t="str">
        <x:v>로그인으로 돌아가기</x:v>
      </x:c>
      <x:c r="D12" s="3" t="str">
        <x:v>Back to sign in</x:v>
      </x:c>
      <x:c r="E12" s="3" t="str">
        <x:v>의미·다음 행동·말투 일치. 원문 사용자 데이터/브랜드/단위를 임의 번역하지 않음.</x:v>
      </x:c>
      <x:c r="F12" s="3" t="str">
        <x:v>KO 현재 / EN 초안</x:v>
      </x:c>
    </x:row>
    <x:row r="13" ht="55.5" customHeight="1">
      <x:c r="A13" s="3" t="str">
        <x:v>AUTH.LOADING</x:v>
      </x:c>
      <x:c r="B13" s="3" t="str">
        <x:v>로그인</x:v>
      </x:c>
      <x:c r="C13" s="3" t="str">
        <x:v>로그인하고 있어요…</x:v>
      </x:c>
      <x:c r="D13" s="3" t="str">
        <x:v>Signing you in…</x:v>
      </x:c>
      <x:c r="E13" s="3" t="str">
        <x:v>의미·다음 행동·말투 일치. 원문 사용자 데이터/브랜드/단위를 임의 번역하지 않음.</x:v>
      </x:c>
      <x:c r="F13" s="3" t="str">
        <x:v>KO 현재 / EN 초안</x:v>
      </x:c>
    </x:row>
    <x:row r="14" ht="55.5" customHeight="1">
      <x:c r="A14" s="3" t="str">
        <x:v>AUTH.SIGNUP_LOADING</x:v>
      </x:c>
      <x:c r="B14" s="3" t="str">
        <x:v>회원가입</x:v>
      </x:c>
      <x:c r="C14" s="3" t="str">
        <x:v>가입하고 있어요…</x:v>
      </x:c>
      <x:c r="D14" s="3" t="str">
        <x:v>Creating your account…</x:v>
      </x:c>
      <x:c r="E14" s="3" t="str">
        <x:v>의미·다음 행동·말투 일치. 원문 사용자 데이터/브랜드/단위를 임의 번역하지 않음.</x:v>
      </x:c>
      <x:c r="F14" s="3" t="str">
        <x:v>KO 현재 / EN 초안</x:v>
      </x:c>
    </x:row>
    <x:row r="15" ht="55.5" customHeight="1">
      <x:c r="A15" s="3" t="str">
        <x:v>FORM.EMAIL</x:v>
      </x:c>
      <x:c r="B15" s="3" t="str">
        <x:v>공통 입력</x:v>
      </x:c>
      <x:c r="C15" s="3" t="str">
        <x:v>이메일</x:v>
      </x:c>
      <x:c r="D15" s="3" t="str">
        <x:v>Email</x:v>
      </x:c>
      <x:c r="E15" s="3" t="str">
        <x:v>의미·다음 행동·말투 일치. 원문 사용자 데이터/브랜드/단위를 임의 번역하지 않음.</x:v>
      </x:c>
      <x:c r="F15" s="3" t="str">
        <x:v>KO 현재 / EN 초안</x:v>
      </x:c>
    </x:row>
    <x:row r="16" ht="55.5" customHeight="1">
      <x:c r="A16" s="3" t="str">
        <x:v>FORM.PASSWORD</x:v>
      </x:c>
      <x:c r="B16" s="3" t="str">
        <x:v>공통 입력</x:v>
      </x:c>
      <x:c r="C16" s="3" t="str">
        <x:v>비밀번호</x:v>
      </x:c>
      <x:c r="D16" s="3" t="str">
        <x:v>Password</x:v>
      </x:c>
      <x:c r="E16" s="3" t="str">
        <x:v>의미·다음 행동·말투 일치. 원문 사용자 데이터/브랜드/단위를 임의 번역하지 않음.</x:v>
      </x:c>
      <x:c r="F16" s="3" t="str">
        <x:v>KO 현재 / EN 초안</x:v>
      </x:c>
    </x:row>
    <x:row r="17" ht="55.5" customHeight="1">
      <x:c r="A17" s="3" t="str">
        <x:v>FORM.CONFIRM</x:v>
      </x:c>
      <x:c r="B17" s="3" t="str">
        <x:v>공통 입력</x:v>
      </x:c>
      <x:c r="C17" s="3" t="str">
        <x:v>비밀번호 확인</x:v>
      </x:c>
      <x:c r="D17" s="3" t="str">
        <x:v>Confirm password</x:v>
      </x:c>
      <x:c r="E17" s="3" t="str">
        <x:v>의미·다음 행동·말투 일치. 원문 사용자 데이터/브랜드/단위를 임의 번역하지 않음.</x:v>
      </x:c>
      <x:c r="F17" s="3" t="str">
        <x:v>KO 현재 / EN 초안</x:v>
      </x:c>
    </x:row>
    <x:row r="18" ht="55.5" customHeight="1">
      <x:c r="A18" s="3" t="str">
        <x:v>FORM.AMOUNT</x:v>
      </x:c>
      <x:c r="B18" s="3" t="str">
        <x:v>비용 입력</x:v>
      </x:c>
      <x:c r="C18" s="3" t="str">
        <x:v>금액</x:v>
      </x:c>
      <x:c r="D18" s="3" t="str">
        <x:v>Amount</x:v>
      </x:c>
      <x:c r="E18" s="3" t="str">
        <x:v>의미·다음 행동·말투 일치. 원문 사용자 데이터/브랜드/단위를 임의 번역하지 않음.</x:v>
      </x:c>
      <x:c r="F18" s="3" t="str">
        <x:v>KO 현재 / EN 초안</x:v>
      </x:c>
    </x:row>
    <x:row r="19" ht="55.5" customHeight="1">
      <x:c r="A19" s="3" t="str">
        <x:v>HOME.START</x:v>
      </x:c>
      <x:c r="B19" s="3" t="str">
        <x:v>홈</x:v>
      </x:c>
      <x:c r="C19" s="3" t="str">
        <x:v>새 여행 시작하기</x:v>
      </x:c>
      <x:c r="D19" s="3" t="str">
        <x:v>Start a new trip</x:v>
      </x:c>
      <x:c r="E19" s="3" t="str">
        <x:v>의미·다음 행동·말투 일치. 원문 사용자 데이터/브랜드/단위를 임의 번역하지 않음.</x:v>
      </x:c>
      <x:c r="F19" s="3" t="str">
        <x:v>KO 현재 / EN 초안</x:v>
      </x:c>
    </x:row>
    <x:row r="20" ht="55.5" customHeight="1">
      <x:c r="A20" s="3" t="str">
        <x:v>HOME.EXAMPLE</x:v>
      </x:c>
      <x:c r="B20" s="3" t="str">
        <x:v>홈</x:v>
      </x:c>
      <x:c r="C20" s="3" t="str">
        <x:v>사용 예시</x:v>
      </x:c>
      <x:c r="D20" s="3" t="str">
        <x:v>Example itinerary</x:v>
      </x:c>
      <x:c r="E20" s="3" t="str">
        <x:v>의미·다음 행동·말투 일치. 원문 사용자 데이터/브랜드/단위를 임의 번역하지 않음.</x:v>
      </x:c>
      <x:c r="F20" s="3" t="str">
        <x:v>KO 현재 / EN 초안</x:v>
      </x:c>
    </x:row>
    <x:row r="21" ht="55.5" customHeight="1">
      <x:c r="A21" s="3" t="str">
        <x:v>TRIP.FLIGHT_OPTIONAL</x:v>
      </x:c>
      <x:c r="B21" s="3" t="str">
        <x:v>새 여행</x:v>
      </x:c>
      <x:c r="C21" s="3" t="str">
        <x:v>항공편 추가 (선택)</x:v>
      </x:c>
      <x:c r="D21" s="3" t="str">
        <x:v>Add a flight (optional)</x:v>
      </x:c>
      <x:c r="E21" s="3" t="str">
        <x:v>의미·다음 행동·말투 일치. 원문 사용자 데이터/브랜드/단위를 임의 번역하지 않음.</x:v>
      </x:c>
      <x:c r="F21" s="3" t="str">
        <x:v>KO 현재 / EN 초안</x:v>
      </x:c>
    </x:row>
    <x:row r="22" ht="55.5" customHeight="1">
      <x:c r="A22" s="3" t="str">
        <x:v>COMMON.SAVE</x:v>
      </x:c>
      <x:c r="B22" s="3" t="str">
        <x:v>공통 저장</x:v>
      </x:c>
      <x:c r="C22" s="3" t="str">
        <x:v>확인하고 저장</x:v>
      </x:c>
      <x:c r="D22" s="3" t="str">
        <x:v>Review and save</x:v>
      </x:c>
      <x:c r="E22" s="3" t="str">
        <x:v>의미·다음 행동·말투 일치. 원문 사용자 데이터/브랜드/단위를 임의 번역하지 않음.</x:v>
      </x:c>
      <x:c r="F22" s="3" t="str">
        <x:v>KO 현재 / EN 초안</x:v>
      </x:c>
    </x:row>
    <x:row r="23" ht="55.5" customHeight="1">
      <x:c r="A23" s="3" t="str">
        <x:v>COMMON.CANCEL</x:v>
      </x:c>
      <x:c r="B23" s="3" t="str">
        <x:v>공통 취소</x:v>
      </x:c>
      <x:c r="C23" s="3" t="str">
        <x:v>취소</x:v>
      </x:c>
      <x:c r="D23" s="3" t="str">
        <x:v>Cancel</x:v>
      </x:c>
      <x:c r="E23" s="3" t="str">
        <x:v>의미·다음 행동·말투 일치. 원문 사용자 데이터/브랜드/단위를 임의 번역하지 않음.</x:v>
      </x:c>
      <x:c r="F23" s="3" t="str">
        <x:v>KO 현재 / EN 초안</x:v>
      </x:c>
    </x:row>
    <x:row r="24" ht="55.5" customHeight="1">
      <x:c r="A24" s="3" t="str">
        <x:v>COMMON.CLOSE</x:v>
      </x:c>
      <x:c r="B24" s="3" t="str">
        <x:v>공통 닫기</x:v>
      </x:c>
      <x:c r="C24" s="3" t="str">
        <x:v>닫기</x:v>
      </x:c>
      <x:c r="D24" s="3" t="str">
        <x:v>Close</x:v>
      </x:c>
      <x:c r="E24" s="3" t="str">
        <x:v>의미·다음 행동·말투 일치. 원문 사용자 데이터/브랜드/단위를 임의 번역하지 않음.</x:v>
      </x:c>
      <x:c r="F24" s="3" t="str">
        <x:v>KO 현재 / EN 초안</x:v>
      </x:c>
    </x:row>
    <x:row r="25" ht="55.5" customHeight="1">
      <x:c r="A25" s="3" t="str">
        <x:v>COMMON.RETRY_SAVE</x:v>
      </x:c>
      <x:c r="B25" s="3" t="str">
        <x:v>저장 재시도</x:v>
      </x:c>
      <x:c r="C25" s="3" t="str">
        <x:v>다시 저장하기</x:v>
      </x:c>
      <x:c r="D25" s="3" t="str">
        <x:v>Try saving again</x:v>
      </x:c>
      <x:c r="E25" s="3" t="str">
        <x:v>의미·다음 행동·말투 일치. 원문 사용자 데이터/브랜드/단위를 임의 번역하지 않음.</x:v>
      </x:c>
      <x:c r="F25" s="3" t="str">
        <x:v>KO 현재 / EN 초안</x:v>
      </x:c>
    </x:row>
    <x:row r="26" ht="55.5" customHeight="1">
      <x:c r="A26" s="3" t="str">
        <x:v>ERROR.SAVE</x:v>
      </x:c>
      <x:c r="B26" s="3" t="str">
        <x:v>저장 오류</x:v>
      </x:c>
      <x:c r="C26" s="3" t="str">
        <x:v>저장하지 못했어요. 입력한 내용은 그대로 있으니 다시 저장해 주세요.</x:v>
      </x:c>
      <x:c r="D26" s="3" t="str">
        <x:v>We couldn’t save this. Your changes are still here. Try saving again.</x:v>
      </x:c>
      <x:c r="E26" s="3" t="str">
        <x:v>의미·다음 행동·말투 일치. 원문 사용자 데이터/브랜드/단위를 임의 번역하지 않음.</x:v>
      </x:c>
      <x:c r="F26" s="3" t="str">
        <x:v>KO 현재 / EN 초안</x:v>
      </x:c>
    </x:row>
    <x:row r="27" ht="55.5" customHeight="1">
      <x:c r="A27" s="3" t="str">
        <x:v>ERROR.CONNECTION</x:v>
      </x:c>
      <x:c r="B27" s="3" t="str">
        <x:v>연결 오류</x:v>
      </x:c>
      <x:c r="C27" s="3" t="str">
        <x:v>연결이 끊겼어요. 입력한 내용은 그대로 있으니 다시 시도해 주세요.</x:v>
      </x:c>
      <x:c r="D27" s="3" t="str">
        <x:v>The connection was lost. Your changes are still here. Please try again.</x:v>
      </x:c>
      <x:c r="E27" s="3" t="str">
        <x:v>의미·다음 행동·말투 일치. 원문 사용자 데이터/브랜드/단위를 임의 번역하지 않음.</x:v>
      </x:c>
      <x:c r="F27" s="3" t="str">
        <x:v>KO 현재 / EN 초안</x:v>
      </x:c>
    </x:row>
    <x:row r="28" ht="55.5" customHeight="1">
      <x:c r="A28" s="3" t="str">
        <x:v>RECEIPT.LOADING</x:v>
      </x:c>
      <x:c r="B28" s="3" t="str">
        <x:v>영수증 대기</x:v>
      </x:c>
      <x:c r="C28" s="3" t="str">
        <x:v>영수증을 읽고 있어요</x:v>
      </x:c>
      <x:c r="D28" s="3" t="str">
        <x:v>Reading your receipt</x:v>
      </x:c>
      <x:c r="E28" s="3" t="str">
        <x:v>의미·다음 행동·말투 일치. 원문 사용자 데이터/브랜드/단위를 임의 번역하지 않음.</x:v>
      </x:c>
      <x:c r="F28" s="3" t="str">
        <x:v>KO 현재 / EN 초안</x:v>
      </x:c>
    </x:row>
    <x:row r="29" ht="55.5" customHeight="1">
      <x:c r="A29" s="3" t="str">
        <x:v>RECEIPT.LOADING_BODY</x:v>
      </x:c>
      <x:c r="B29" s="3" t="str">
        <x:v>영수증 대기</x:v>
      </x:c>
      <x:c r="C29" s="3" t="str">
        <x:v>장소, 결제 일시, 메뉴와 합계를 찾고 있어요.</x:v>
      </x:c>
      <x:c r="D29" s="3" t="str">
        <x:v>Finding the place, payment date and time, items, and total.</x:v>
      </x:c>
      <x:c r="E29" s="3" t="str">
        <x:v>의미·다음 행동·말투 일치. 원문 사용자 데이터/브랜드/단위를 임의 번역하지 않음.</x:v>
      </x:c>
      <x:c r="F29" s="3" t="str">
        <x:v>KO 현재 / EN 초안</x:v>
      </x:c>
    </x:row>
    <x:row r="30" ht="55.5" customHeight="1">
      <x:c r="A30" s="3" t="str">
        <x:v>RECEIPT.REVIEW</x:v>
      </x:c>
      <x:c r="B30" s="3" t="str">
        <x:v>영수증 확인</x:v>
      </x:c>
      <x:c r="C30" s="3" t="str">
        <x:v>사진에서 읽은 내용이에요</x:v>
      </x:c>
      <x:c r="D30" s="3" t="str">
        <x:v>Here’s what we found in your photo</x:v>
      </x:c>
      <x:c r="E30" s="3" t="str">
        <x:v>의미·다음 행동·말투 일치. 원문 사용자 데이터/브랜드/단위를 임의 번역하지 않음.</x:v>
      </x:c>
      <x:c r="F30" s="3" t="str">
        <x:v>KO 현재 / EN 초안</x:v>
      </x:c>
    </x:row>
    <x:row r="31" ht="55.5" customHeight="1">
      <x:c r="A31" s="3" t="str">
        <x:v>RECEIPT.REGISTER</x:v>
      </x:c>
      <x:c r="B31" s="3" t="str">
        <x:v>영수증 등록</x:v>
      </x:c>
      <x:c r="C31" s="3" t="str">
        <x:v>여행 기록에 등록</x:v>
      </x:c>
      <x:c r="D31" s="3" t="str">
        <x:v>Add to your trip</x:v>
      </x:c>
      <x:c r="E31" s="3" t="str">
        <x:v>의미·다음 행동·말투 일치. 원문 사용자 데이터/브랜드/단위를 임의 번역하지 않음.</x:v>
      </x:c>
      <x:c r="F31" s="3" t="str">
        <x:v>KO 현재 / EN 초안</x:v>
      </x:c>
    </x:row>
    <x:row r="32" ht="55.5" customHeight="1">
      <x:c r="A32" s="3" t="str">
        <x:v>RECEIPT.EDIT</x:v>
      </x:c>
      <x:c r="B32" s="3" t="str">
        <x:v>영수증 수정</x:v>
      </x:c>
      <x:c r="C32" s="3" t="str">
        <x:v>인식 내용 수정</x:v>
      </x:c>
      <x:c r="D32" s="3" t="str">
        <x:v>Edit receipt details</x:v>
      </x:c>
      <x:c r="E32" s="3" t="str">
        <x:v>의미·다음 행동·말투 일치. 원문 사용자 데이터/브랜드/단위를 임의 번역하지 않음.</x:v>
      </x:c>
      <x:c r="F32" s="3" t="str">
        <x:v>KO 현재 / EN 초안</x:v>
      </x:c>
    </x:row>
    <x:row r="33" ht="55.5" customHeight="1">
      <x:c r="A33" s="3" t="str">
        <x:v>RECEIPT.ERROR</x:v>
      </x:c>
      <x:c r="B33" s="3" t="str">
        <x:v>영수증 실패</x:v>
      </x:c>
      <x:c r="C33" s="3" t="str">
        <x:v>영수증을 읽지 못했어요</x:v>
      </x:c>
      <x:c r="D33" s="3" t="str">
        <x:v>We couldn’t read this receipt</x:v>
      </x:c>
      <x:c r="E33" s="3" t="str">
        <x:v>의미·다음 행동·말투 일치. 원문 사용자 데이터/브랜드/단위를 임의 번역하지 않음.</x:v>
      </x:c>
      <x:c r="F33" s="3" t="str">
        <x:v>KO 현재 / EN 초안</x:v>
      </x:c>
    </x:row>
    <x:row r="34" ht="55.5" customHeight="1">
      <x:c r="A34" s="3" t="str">
        <x:v>RECEIPT.RETRY</x:v>
      </x:c>
      <x:c r="B34" s="3" t="str">
        <x:v>영수증 실패</x:v>
      </x:c>
      <x:c r="C34" s="3" t="str">
        <x:v>다시 스캔하기</x:v>
      </x:c>
      <x:c r="D34" s="3" t="str">
        <x:v>Scan again</x:v>
      </x:c>
      <x:c r="E34" s="3" t="str">
        <x:v>의미·다음 행동·말투 일치. 원문 사용자 데이터/브랜드/단위를 임의 번역하지 않음.</x:v>
      </x:c>
      <x:c r="F34" s="3" t="str">
        <x:v>KO 현재 / EN 초안</x:v>
      </x:c>
    </x:row>
    <x:row r="35" ht="55.5" customHeight="1">
      <x:c r="A35" s="3" t="str">
        <x:v>RECEIPT.OTHER</x:v>
      </x:c>
      <x:c r="B35" s="3" t="str">
        <x:v>영수증 실패</x:v>
      </x:c>
      <x:c r="C35" s="3" t="str">
        <x:v>다른 영수증 사진 선택</x:v>
      </x:c>
      <x:c r="D35" s="3" t="str">
        <x:v>Choose another receipt photo</x:v>
      </x:c>
      <x:c r="E35" s="3" t="str">
        <x:v>의미·다음 행동·말투 일치. 원문 사용자 데이터/브랜드/단위를 임의 번역하지 않음.</x:v>
      </x:c>
      <x:c r="F35" s="3" t="str">
        <x:v>KO 현재 / EN 초안</x:v>
      </x:c>
    </x:row>
    <x:row r="36" ht="55.5" customHeight="1">
      <x:c r="A36" s="3" t="str">
        <x:v>RECEIPT.MANUAL</x:v>
      </x:c>
      <x:c r="B36" s="3" t="str">
        <x:v>영수증 실패 대안</x:v>
      </x:c>
      <x:c r="C36" s="3" t="str">
        <x:v>직접 입력으로 계속</x:v>
      </x:c>
      <x:c r="D36" s="3" t="str">
        <x:v>Enter details manually</x:v>
      </x:c>
      <x:c r="E36" s="3" t="str">
        <x:v>의미·다음 행동·말투 일치. 원문 사용자 데이터/브랜드/단위를 임의 번역하지 않음.</x:v>
      </x:c>
      <x:c r="F36" s="3" t="str">
        <x:v>KO 현재 / EN 초안</x:v>
      </x:c>
    </x:row>
    <x:row r="37" ht="55.5" customHeight="1">
      <x:c r="A37" s="3" t="str">
        <x:v>RECEIPT.MERCHANT</x:v>
      </x:c>
      <x:c r="B37" s="3" t="str">
        <x:v>영수증 수정</x:v>
      </x:c>
      <x:c r="C37" s="3" t="str">
        <x:v>영수증 상호</x:v>
      </x:c>
      <x:c r="D37" s="3" t="str">
        <x:v>Business name</x:v>
      </x:c>
      <x:c r="E37" s="3" t="str">
        <x:v>의미·다음 행동·말투 일치. 원문 사용자 데이터/브랜드/단위를 임의 번역하지 않음.</x:v>
      </x:c>
      <x:c r="F37" s="3" t="str">
        <x:v>KO 현재 / EN 초안</x:v>
      </x:c>
    </x:row>
    <x:row r="38" ht="55.5" customHeight="1">
      <x:c r="A38" s="3" t="str">
        <x:v>RECEIPT.ADDRESS</x:v>
      </x:c>
      <x:c r="B38" s="3" t="str">
        <x:v>영수증 수정</x:v>
      </x:c>
      <x:c r="C38" s="3" t="str">
        <x:v>지역명·주소</x:v>
      </x:c>
      <x:c r="D38" s="3" t="str">
        <x:v>Area or address</x:v>
      </x:c>
      <x:c r="E38" s="3" t="str">
        <x:v>의미·다음 행동·말투 일치. 원문 사용자 데이터/브랜드/단위를 임의 번역하지 않음.</x:v>
      </x:c>
      <x:c r="F38" s="3" t="str">
        <x:v>KO 현재 / EN 초안</x:v>
      </x:c>
    </x:row>
    <x:row r="39" ht="55.5" customHeight="1">
      <x:c r="A39" s="3" t="str">
        <x:v>RECEIPT.PAID_DATE</x:v>
      </x:c>
      <x:c r="B39" s="3" t="str">
        <x:v>영수증 수정</x:v>
      </x:c>
      <x:c r="C39" s="3" t="str">
        <x:v>실제 결제 날짜</x:v>
      </x:c>
      <x:c r="D39" s="3" t="str">
        <x:v>Payment date</x:v>
      </x:c>
      <x:c r="E39" s="3" t="str">
        <x:v>의미·다음 행동·말투 일치. 원문 사용자 데이터/브랜드/단위를 임의 번역하지 않음.</x:v>
      </x:c>
      <x:c r="F39" s="3" t="str">
        <x:v>KO 현재 / EN 초안</x:v>
      </x:c>
    </x:row>
    <x:row r="40" ht="55.5" customHeight="1">
      <x:c r="A40" s="3" t="str">
        <x:v>RECEIPT.PAID_TIME</x:v>
      </x:c>
      <x:c r="B40" s="3" t="str">
        <x:v>영수증 수정</x:v>
      </x:c>
      <x:c r="C40" s="3" t="str">
        <x:v>실제 결제 시간</x:v>
      </x:c>
      <x:c r="D40" s="3" t="str">
        <x:v>Payment time</x:v>
      </x:c>
      <x:c r="E40" s="3" t="str">
        <x:v>의미·다음 행동·말투 일치. 원문 사용자 데이터/브랜드/단위를 임의 번역하지 않음.</x:v>
      </x:c>
      <x:c r="F40" s="3" t="str">
        <x:v>KO 현재 / EN 초안</x:v>
      </x:c>
    </x:row>
    <x:row r="41" ht="55.5" customHeight="1">
      <x:c r="A41" s="3" t="str">
        <x:v>RECEIPT.ITEMS</x:v>
      </x:c>
      <x:c r="B41" s="3" t="str">
        <x:v>영수증 메뉴</x:v>
      </x:c>
      <x:c r="C41" s="3" t="str">
        <x:v>메뉴·구매 내역</x:v>
      </x:c>
      <x:c r="D41" s="3" t="str">
        <x:v>Items purchased</x:v>
      </x:c>
      <x:c r="E41" s="3" t="str">
        <x:v>의미·다음 행동·말투 일치. 원문 사용자 데이터/브랜드/단위를 임의 번역하지 않음.</x:v>
      </x:c>
      <x:c r="F41" s="3" t="str">
        <x:v>KO 현재 / EN 초안</x:v>
      </x:c>
    </x:row>
    <x:row r="42" ht="55.5" customHeight="1">
      <x:c r="A42" s="3" t="str">
        <x:v>RECEIPT.MERCHANT_MISSING</x:v>
      </x:c>
      <x:c r="B42" s="3" t="str">
        <x:v>영수증 확인</x:v>
      </x:c>
      <x:c r="C42" s="3" t="str">
        <x:v>상호 확인 필요</x:v>
      </x:c>
      <x:c r="D42" s="3" t="str">
        <x:v>Check the business name</x:v>
      </x:c>
      <x:c r="E42" s="3" t="str">
        <x:v>의미·다음 행동·말투 일치. 원문 사용자 데이터/브랜드/단위를 임의 번역하지 않음.</x:v>
      </x:c>
      <x:c r="F42" s="3" t="str">
        <x:v>KO 현재 / EN 초안</x:v>
      </x:c>
    </x:row>
    <x:row r="43" ht="55.5" customHeight="1">
      <x:c r="A43" s="3" t="str">
        <x:v>RECEIPT.AMOUNT_MISSING</x:v>
      </x:c>
      <x:c r="B43" s="3" t="str">
        <x:v>영수증 확인</x:v>
      </x:c>
      <x:c r="C43" s="3" t="str">
        <x:v>금액 확인 필요</x:v>
      </x:c>
      <x:c r="D43" s="3" t="str">
        <x:v>Check the total</x:v>
      </x:c>
      <x:c r="E43" s="3" t="str">
        <x:v>의미·다음 행동·말투 일치. 원문 사용자 데이터/브랜드/단위를 임의 번역하지 않음.</x:v>
      </x:c>
      <x:c r="F43" s="3" t="str">
        <x:v>KO 현재 / EN 초안</x:v>
      </x:c>
    </x:row>
    <x:row r="44" ht="55.5" customHeight="1">
      <x:c r="A44" s="3" t="str">
        <x:v>RECEIPT.DAY_MISMATCH</x:v>
      </x:c>
      <x:c r="B44" s="3" t="str">
        <x:v>영수증 확인</x:v>
      </x:c>
      <x:c r="C44" s="3" t="str">
        <x:v>결제 날짜가 여행 기간과 맞는지 확인해 주세요.</x:v>
      </x:c>
      <x:c r="D44" s="3" t="str">
        <x:v>Check that the payment date is within your trip dates.</x:v>
      </x:c>
      <x:c r="E44" s="3" t="str">
        <x:v>의미·다음 행동·말투 일치. 원문 사용자 데이터/브랜드/단위를 임의 번역하지 않음.</x:v>
      </x:c>
      <x:c r="F44" s="3" t="str">
        <x:v>KO 현재 / EN 초안</x:v>
      </x:c>
    </x:row>
    <x:row r="45" ht="55.5" customHeight="1">
      <x:c r="A45" s="3" t="str">
        <x:v>MAP.OPEN</x:v>
      </x:c>
      <x:c r="B45" s="3" t="str">
        <x:v>지도</x:v>
      </x:c>
      <x:c r="C45" s="3" t="str">
        <x:v>Google Maps 열기</x:v>
      </x:c>
      <x:c r="D45" s="3" t="str">
        <x:v>Open Google Maps</x:v>
      </x:c>
      <x:c r="E45" s="3" t="str">
        <x:v>의미·다음 행동·말투 일치. 원문 사용자 데이터/브랜드/단위를 임의 번역하지 않음.</x:v>
      </x:c>
      <x:c r="F45" s="3" t="str">
        <x:v>KO 현재 / EN 초안</x:v>
      </x:c>
    </x:row>
    <x:row r="46" ht="55.5" customHeight="1">
      <x:c r="A46" s="3" t="str">
        <x:v>MAP.FOUND</x:v>
      </x:c>
      <x:c r="B46" s="3" t="str">
        <x:v>지도 공유</x:v>
      </x:c>
      <x:c r="C46" s="3" t="str">
        <x:v>공유한 장소를 찾았어요.</x:v>
      </x:c>
      <x:c r="D46" s="3" t="str">
        <x:v>We found the place you shared.</x:v>
      </x:c>
      <x:c r="E46" s="3" t="str">
        <x:v>의미·다음 행동·말투 일치. 원문 사용자 데이터/브랜드/단위를 임의 번역하지 않음.</x:v>
      </x:c>
      <x:c r="F46" s="3" t="str">
        <x:v>KO 현재 / EN 초안</x:v>
      </x:c>
    </x:row>
    <x:row r="47" ht="55.5" customHeight="1">
      <x:c r="A47" s="3" t="str">
        <x:v>MAP.IMPORT</x:v>
      </x:c>
      <x:c r="B47" s="3" t="str">
        <x:v>장소 가져오기</x:v>
      </x:c>
      <x:c r="C47" s="3" t="str">
        <x:v>저장한 장소를 여행으로</x:v>
      </x:c>
      <x:c r="D47" s="3" t="str">
        <x:v>Add saved places to your trip</x:v>
      </x:c>
      <x:c r="E47" s="3" t="str">
        <x:v>의미·다음 행동·말투 일치. 원문 사용자 데이터/브랜드/단위를 임의 번역하지 않음.</x:v>
      </x:c>
      <x:c r="F47" s="3" t="str">
        <x:v>KO 현재 / EN 초안</x:v>
      </x:c>
    </x:row>
    <x:row r="48" ht="55.5" customHeight="1">
      <x:c r="A48" s="3" t="str">
        <x:v>MAP.ERROR</x:v>
      </x:c>
      <x:c r="B48" s="3" t="str">
        <x:v>지도 실패</x:v>
      </x:c>
      <x:c r="C48" s="3" t="str">
        <x:v>장소 검색을 완료하지 못했어요. 다시 검색하거나 Google Maps에서 확인해 주세요.</x:v>
      </x:c>
      <x:c r="D48" s="3" t="str">
        <x:v>We couldn’t complete the search. Try again or check Google Maps.</x:v>
      </x:c>
      <x:c r="E48" s="3" t="str">
        <x:v>의미·다음 행동·말투 일치. 원문 사용자 데이터/브랜드/단위를 임의 번역하지 않음.</x:v>
      </x:c>
      <x:c r="F48" s="3" t="str">
        <x:v>KO 현재 / EN 초안</x:v>
      </x:c>
    </x:row>
    <x:row r="49" ht="55.5" customHeight="1">
      <x:c r="A49" s="3" t="str">
        <x:v>INVITE.JOIN</x:v>
      </x:c>
      <x:c r="B49" s="3" t="str">
        <x:v>초대</x:v>
      </x:c>
      <x:c r="C49" s="3" t="str">
        <x:v>초대 확인하고 참여</x:v>
      </x:c>
      <x:c r="D49" s="3" t="str">
        <x:v>Review invitation and join</x:v>
      </x:c>
      <x:c r="E49" s="3" t="str">
        <x:v>의미·다음 행동·말투 일치. 원문 사용자 데이터/브랜드/단위를 임의 번역하지 않음.</x:v>
      </x:c>
      <x:c r="F49" s="3" t="str">
        <x:v>KO 현재 / EN 초안</x:v>
      </x:c>
    </x:row>
    <x:row r="50" ht="55.5" customHeight="1">
      <x:c r="A50" s="3" t="str">
        <x:v>HARU.RELOAD</x:v>
      </x:c>
      <x:c r="B50" s="3" t="str">
        <x:v>조회 오류</x:v>
      </x:c>
      <x:c r="C50" s="3" t="str">
        <x:v>다시 불러오기</x:v>
      </x:c>
      <x:c r="D50" s="3" t="str">
        <x:v>Try again</x:v>
      </x:c>
      <x:c r="E50" s="3" t="str">
        <x:v>의미·다음 행동·말투 일치. 원문 사용자 데이터/브랜드/단위를 임의 번역하지 않음.</x:v>
      </x:c>
      <x:c r="F50" s="3" t="str">
        <x:v>KO 현재 / EN 초안</x:v>
      </x:c>
    </x:row>
    <x:row r="51" ht="55.5" customHeight="1">
      <x:c r="A51" s="3" t="str">
        <x:v>HARU.HOME</x:v>
      </x:c>
      <x:c r="B51" s="3" t="str">
        <x:v>길 찾기</x:v>
      </x:c>
      <x:c r="C51" s="3" t="str">
        <x:v>홈으로 돌아가기</x:v>
      </x:c>
      <x:c r="D51" s="3" t="str">
        <x:v>Back to home</x:v>
      </x:c>
      <x:c r="E51" s="3" t="str">
        <x:v>의미·다음 행동·말투 일치. 원문 사용자 데이터/브랜드/단위를 임의 번역하지 않음.</x:v>
      </x:c>
      <x:c r="F51" s="3" t="str">
        <x:v>KO 현재 / EN 초안</x:v>
      </x:c>
    </x:row>
    <x:row r="52" ht="55.5" customHeight="1">
      <x:c r="A52" s="3" t="str">
        <x:v>PRIVACY.DEFAULT</x:v>
      </x:c>
      <x:c r="B52" s="3" t="str">
        <x:v>로그인</x:v>
      </x:c>
      <x:c r="C52" s="3" t="str">
        <x:v>여행 기록은 기본적으로 비공개입니다. 커뮤니티에 공개할 내용은 직접 선택할 수 있어요.</x:v>
      </x:c>
      <x:c r="D52" s="3" t="str">
        <x:v>Your trips are private by default. You choose what to share with the community.</x:v>
      </x:c>
      <x:c r="E52" s="3" t="str">
        <x:v>의미·다음 행동·말투 일치. 원문 사용자 데이터/브랜드/단위를 임의 번역하지 않음.</x:v>
      </x:c>
      <x:c r="F52" s="3" t="str">
        <x:v>KO 현재 / EN 초안</x:v>
      </x:c>
    </x:row>
    <x:row r="53" ht="55.5" customHeight="1">
      <x:c r="A53" s="3" t="str">
        <x:v>PRIVACY.LOCAL</x:v>
      </x:c>
      <x:c r="B53" s="3" t="str">
        <x:v>이전 기록</x:v>
      </x:c>
      <x:c r="C53" s="3" t="str">
        <x:v>여기에 남긴 기록은 이 기기에서만 볼 수 있어요.</x:v>
      </x:c>
      <x:c r="D53" s="3" t="str">
        <x:v>These records are only available on this device.</x:v>
      </x:c>
      <x:c r="E53" s="3" t="str">
        <x:v>의미·다음 행동·말투 일치. 원문 사용자 데이터/브랜드/단위를 임의 번역하지 않음.</x:v>
      </x:c>
      <x:c r="F53" s="3" t="str">
        <x:v>KO 현재 / EN 초안</x:v>
      </x:c>
    </x:row>
    <x:row r="54" ht="55.5" customHeight="1">
      <x:c r="A54" s="3" t="str">
        <x:v>COMMUNITY.PUBLISH</x:v>
      </x:c>
      <x:c r="B54" s="3" t="str">
        <x:v>게시</x:v>
      </x:c>
      <x:c r="C54" s="3" t="str">
        <x:v>확인하고 게시</x:v>
      </x:c>
      <x:c r="D54" s="3" t="str">
        <x:v>Review and publish</x:v>
      </x:c>
      <x:c r="E54" s="3" t="str">
        <x:v>의미·다음 행동·말투 일치. 원문 사용자 데이터/브랜드/단위를 임의 번역하지 않음.</x:v>
      </x:c>
      <x:c r="F54" s="3" t="str">
        <x:v>KO 현재 / EN 초안</x:v>
      </x:c>
    </x:row>
    <x:row r="55" ht="55.5" customHeight="1">
      <x:c r="A55" s="3" t="str">
        <x:v>TERM.TRIP</x:v>
      </x:c>
      <x:c r="B55" s="3" t="str">
        <x:v>용어</x:v>
      </x:c>
      <x:c r="C55" s="3" t="str">
        <x:v>여행</x:v>
      </x:c>
      <x:c r="D55" s="3" t="str">
        <x:v>Trip</x:v>
      </x:c>
      <x:c r="E55" s="3" t="str">
        <x:v>의미·다음 행동·말투 일치. 원문 사용자 데이터/브랜드/단위를 임의 번역하지 않음.</x:v>
      </x:c>
      <x:c r="F55" s="3" t="str">
        <x:v>KO 현재 / EN 초안</x:v>
      </x:c>
    </x:row>
    <x:row r="56" ht="55.5" customHeight="1">
      <x:c r="A56" s="3" t="str">
        <x:v>TERM.ITINERARY</x:v>
      </x:c>
      <x:c r="B56" s="3" t="str">
        <x:v>용어</x:v>
      </x:c>
      <x:c r="C56" s="3" t="str">
        <x:v>일정</x:v>
      </x:c>
      <x:c r="D56" s="3" t="str">
        <x:v>Itinerary</x:v>
      </x:c>
      <x:c r="E56" s="3" t="str">
        <x:v>의미·다음 행동·말투 일치. 원문 사용자 데이터/브랜드/단위를 임의 번역하지 않음.</x:v>
      </x:c>
      <x:c r="F56" s="3" t="str">
        <x:v>KO 현재 / EN 초안</x:v>
      </x:c>
    </x:row>
    <x:row r="57" ht="55.5" customHeight="1">
      <x:c r="A57" s="3" t="str">
        <x:v>TERM.FOOTPRINTS</x:v>
      </x:c>
      <x:c r="B57" s="3" t="str">
        <x:v>용어</x:v>
      </x:c>
      <x:c r="C57" s="3" t="str">
        <x:v>발자국</x:v>
      </x:c>
      <x:c r="D57" s="3" t="str">
        <x:v>Footprints</x:v>
      </x:c>
      <x:c r="E57" s="3" t="str">
        <x:v>의미·다음 행동·말투 일치. 원문 사용자 데이터/브랜드/단위를 임의 번역하지 않음.</x:v>
      </x:c>
      <x:c r="F57" s="3" t="str">
        <x:v>KO 현재 / EN 초안</x:v>
      </x:c>
    </x:row>
    <x:row r="58" ht="55.5" customHeight="1">
      <x:c r="A58" s="3" t="str">
        <x:v>TERM.HARU</x:v>
      </x:c>
      <x:c r="B58" s="3" t="str">
        <x:v>브랜드</x:v>
      </x:c>
      <x:c r="C58" s="3" t="str">
        <x:v>하루</x:v>
      </x:c>
      <x:c r="D58" s="3" t="str">
        <x:v>Haru</x:v>
      </x:c>
      <x:c r="E58" s="3" t="str">
        <x:v>의미·다음 행동·말투 일치. 원문 사용자 데이터/브랜드/단위를 임의 번역하지 않음.</x:v>
      </x:c>
      <x:c r="F58" s="3" t="str">
        <x:v>KO 현재 / EN 초안</x:v>
      </x:c>
    </x:row>
    <x:row r="59" ht="55.5" customHeight="1">
      <x:c r="A59" s="3" t="str">
        <x:v>NATIVE.CAMERA</x:v>
      </x:c>
      <x:c r="B59" s="3" t="str">
        <x:v>카메라 권한</x:v>
      </x:c>
      <x:c r="C59" s="3" t="str">
        <x:v>여행 사진과 영수증을 촬영하기 위해 카메라 접근이 필요합니다.</x:v>
      </x:c>
      <x:c r="D59" s="3" t="str">
        <x:v>Allow camera access to take travel photos and scan receipts.</x:v>
      </x:c>
      <x:c r="E59" s="3" t="str">
        <x:v>의미·다음 행동·말투 일치. 원문 사용자 데이터/브랜드/단위를 임의 번역하지 않음.</x:v>
      </x:c>
      <x:c r="F59" s="3" t="str">
        <x:v>KO 현재 / EN 초안</x:v>
      </x:c>
    </x:row>
    <x:row r="60" ht="55.5" customHeight="1">
      <x:c r="A60" s="3" t="str">
        <x:v>NATIVE.PHOTOS</x:v>
      </x:c>
      <x:c r="B60" s="3" t="str">
        <x:v>사진 권한</x:v>
      </x:c>
      <x:c r="C60" s="3" t="str">
        <x:v>여행 사진과 영수증을 선택하기 위해 사진 접근이 필요합니다.</x:v>
      </x:c>
      <x:c r="D60" s="3" t="str">
        <x:v>Allow photo access to choose travel photos and receipts.</x:v>
      </x:c>
      <x:c r="E60" s="3" t="str">
        <x:v>의미·다음 행동·말투 일치. 원문 사용자 데이터/브랜드/단위를 임의 번역하지 않음.</x:v>
      </x:c>
      <x:c r="F60" s="3" t="str">
        <x:v>KO 현재 / EN 초안</x:v>
      </x:c>
    </x:row>
    <x:row r="61" ht="55.5" customHeight="1">
      <x:c r="A61" s="3" t="str">
        <x:v>COST.ACTUAL</x:v>
      </x:c>
      <x:c r="B61" s="3" t="str">
        <x:v>비용</x:v>
      </x:c>
      <x:c r="C61" s="3" t="str">
        <x:v>실제</x:v>
      </x:c>
      <x:c r="D61" s="3" t="str">
        <x:v>Actual spending</x:v>
      </x:c>
      <x:c r="E61" s="3" t="str">
        <x:v>의미·다음 행동·말투 일치. 원문 사용자 데이터/브랜드/단위를 임의 번역하지 않음.</x:v>
      </x:c>
      <x:c r="F61" s="3" t="str">
        <x:v>KO 현재 / EN 초안</x:v>
      </x:c>
    </x:row>
    <x:row r="62" ht="55.5" customHeight="1">
      <x:c r="A62" s="3" t="str">
        <x:v>COST.PLANNED</x:v>
      </x:c>
      <x:c r="B62" s="3" t="str">
        <x:v>비용</x:v>
      </x:c>
      <x:c r="C62" s="3" t="str">
        <x:v>예상</x:v>
      </x:c>
      <x:c r="D62" s="3" t="str">
        <x:v>Planned spending</x:v>
      </x:c>
      <x:c r="E62" s="3" t="str">
        <x:v>의미·다음 행동·말투 일치. 원문 사용자 데이터/브랜드/단위를 임의 번역하지 않음.</x:v>
      </x:c>
      <x:c r="F62" s="3" t="str">
        <x:v>KO 현재 / EN 초안</x:v>
      </x:c>
    </x:row>
  </x:sheetData>
  <x:pageMargins left="0.7" right="0.7" top="0.75" bottom="0.75" header="0.3" footer="0.3"/>
  <x:tableParts count="1">
    <x:tablePart xmlns:r="http://schemas.openxmlformats.org/officeDocument/2006/relationships" r:id="Rcc14e6dd7cd74fad"/>
  </x:tableParts>
</x:worksheet>
</file>

<file path=xl/worksheets/sheet4.xml><?xml version="1.0" encoding="utf-8"?>
<x:worksheet xmlns:x="http://schemas.openxmlformats.org/spreadsheetml/2006/main">
  <x:sheetPr>
    <x:tabColor rgb="FFAEB8C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77.5" hidden="0" customWidth="1"/>
    <x:col min="4" max="4" width="76.25" hidden="0" customWidth="1"/>
  </x:cols>
  <x:sheetData>
    <x:row r="1">
      <x:c r="A1" s="3"/>
      <x:c r="B1" s="3"/>
      <x:c r="C1" s="3"/>
      <x:c r="D1" s="3"/>
    </x:row>
    <x:row r="2" ht="25.5" customHeight="1">
      <x:c r="A2" s="18" t="str">
        <x:v>테스트 데이터와 화면 범위</x:v>
      </x:c>
      <x:c r="B2" s="3"/>
      <x:c r="C2" s="3"/>
      <x:c r="D2" s="3"/>
    </x:row>
    <x:row r="3">
      <x:c r="A3" s="5"/>
      <x:c r="B3" s="5"/>
      <x:c r="C3" s="5"/>
      <x:c r="D3" s="5"/>
    </x:row>
    <x:row r="4">
      <x:c r="A4" s="3"/>
      <x:c r="B4" s="3"/>
      <x:c r="C4" s="3"/>
      <x:c r="D4" s="3"/>
    </x:row>
    <x:row r="5" ht="34.5" customHeight="1">
      <x:c r="A5" s="10" t="str">
        <x:v>데이터 ID</x:v>
      </x:c>
      <x:c r="B5" s="10" t="str">
        <x:v>대상</x:v>
      </x:c>
      <x:c r="C5" s="10" t="str">
        <x:v>준비 데이터·조건</x:v>
      </x:c>
      <x:c r="D5" s="10" t="str">
        <x:v>대조 기준</x:v>
      </x:c>
    </x:row>
    <x:row r="6" ht="73.5" customHeight="1">
      <x:c r="A6" s="3" t="str">
        <x:v>TD-01</x:v>
      </x:c>
      <x:c r="B6" s="3" t="str">
        <x:v>기본 여행</x:v>
      </x:c>
      <x:c r="C6" s="3" t="str">
        <x:v>TEST_TC_A_도쿄 / 일본·도쿄 / 2026-10-01~03 / Asia/Tokyo / 기본 JPY</x:v>
      </x:c>
      <x:c r="D6" s="3" t="str">
        <x:v>DAY1~3. 항공은 선택. 일반 일정·비용·동행·게시 테스트의 기준 여행.</x:v>
      </x:c>
    </x:row>
    <x:row r="7" ht="73.5" customHeight="1">
      <x:c r="A7" s="3" t="str">
        <x:v>TD-02</x:v>
      </x:c>
      <x:c r="B7" s="3" t="str">
        <x:v>제공된 일본어 영수증</x:v>
      </x:c>
      <x:c r="C7" s="3" t="str">
        <x:v>별도 TEST_RECEIPT_A 여행 2026-09-26~28. Kagerou Cafe / 和歌山県西牟婁郡白浜町1279-3 / 2026-09-28 16:36 / JPY 2450</x:v>
      </x:c>
      <x:c r="D7" s="3" t="str">
        <x:v>메뉴 6種ミックス 1×1250, みかんしぼり 1×600, はっさくソーダ 1×600. DAY3. 입점 13:50·내세금 222·거스름돈 0은 결제 일시/합계와 구별.</x:v>
      </x:c>
    </x:row>
    <x:row r="8" ht="73.5" customHeight="1">
      <x:c r="A8" s="3" t="str">
        <x:v>TD-03</x:v>
      </x:c>
      <x:c r="B8" s="3" t="str">
        <x:v>사진 크기와 MIME</x:v>
      </x:c>
      <x:c r="C8" s="3" t="str">
        <x:v>작은 정상 JPEG/PNG, 실제 8MB PNG, 실제 전송 4,194,305바이트, 위장한 텍스트 파일</x:v>
      </x:c>
      <x:c r="D8" s="3" t="str">
        <x:v>원본·압축 후 전송 크기를 별도 기록. 정상 큰 이미지 앱 압축과 서버 초과 전송 거부를 구별.</x:v>
      </x:c>
    </x:row>
    <x:row r="9" ht="73.5" customHeight="1">
      <x:c r="A9" s="3" t="str">
        <x:v>TD-04</x:v>
      </x:c>
      <x:c r="B9" s="3" t="str">
        <x:v>초대와 지도 공유</x:v>
      </x:c>
      <x:c r="C9" s="3" t="str">
        <x:v>보기/편집 초대 1개씩. 정상 단일 Google Maps 공유 링크. 잘못된 외부 링크·깨진 URL.</x:v>
      </x:c>
      <x:c r="D9" s="3" t="str">
        <x:v>A 소유자, B 보기→편집, C 비멤버→참여/제거. 토큰·서명 URL·비밀번호는 문서에 기록하지 않는다.</x:v>
      </x:c>
    </x:row>
    <x:row r="10" ht="73.5" customHeight="1">
      <x:c r="A10" s="3" t="str">
        <x:v>TD-05</x:v>
      </x:c>
      <x:c r="B10" s="3" t="str">
        <x:v>불완전한 영수증</x:v>
      </x:c>
      <x:c r="C10" s="3" t="str">
        <x:v>흐림·회전·일부 잘림·어두움·상호 누락·날짜 누락·합계 누락 사진</x:v>
      </x:c>
      <x:c r="D10" s="3" t="str">
        <x:v>실제 이미지 파일은 테스트 전에 준비. 인식 누락·오독을 원본과 대조하고 정상 값을 임의 생성하지 않는지 확인.</x:v>
      </x:c>
    </x:row>
    <x:row r="11" ht="73.5" customHeight="1">
      <x:c r="A11" s="3" t="str">
        <x:v>TD-06</x:v>
      </x:c>
      <x:c r="B11" s="3" t="str">
        <x:v>다국어·긴 텍스트</x:v>
      </x:c>
      <x:c r="C11" s="3" t="str">
        <x:v>東京の思い出 / Café São João / 김하루 / TripPrint ✈️ / &lt;script&gt;alert(1)&lt;/script&gt; / 아주 긴 여행명·닉네임·주소</x:v>
      </x:c>
      <x:c r="D11" s="3" t="str">
        <x:v>사용자 원문 보존, HTML/코드 비실행, 줄바꿈·검색·공유·폰트 검사. 테스트 스크립트 문자는 서비스 데이터로만 입력.</x:v>
      </x:c>
    </x:row>
    <x:row r="12" ht="73.5" customHeight="1">
      <x:c r="A12" s="3" t="str">
        <x:v>TD-07</x:v>
      </x:c>
      <x:c r="B12" s="3" t="str">
        <x:v>기기와 언어</x:v>
      </x:c>
      <x:c r="C12" s="3" t="str">
        <x:v>Android 실기기·웹. iOS는 서명된 배포 확보 후. 320/360/390dp. 글자 크기 100%/200%. ko-KR/en-US/en-GB/ja-JP/fr-FR.</x:v>
      </x:c>
      <x:c r="D12" s="3" t="str">
        <x:v>기기·OS·앱 버전·APK Build ID·versionCode·UI 언어·시스템 언어·시간대·네트워크를 각 실행의 증거에 기록.</x:v>
      </x:c>
    </x:row>
    <x:row r="13" ht="73.5" customHeight="1">
      <x:c r="A13" s="3" t="str">
        <x:v>TD-08</x:v>
      </x:c>
      <x:c r="B13" s="3" t="str">
        <x:v>영문 영수증 fixture</x:v>
      </x:c>
      <x:c r="C13" s="3" t="str">
        <x:v>가상 Blue Harbor Cafe / 45 Ocean Ave / 2026-10-02 18:25 / USD. Soup 2×6.00=12.00, Pasta 1×8.00=8.00 / Subtotal 20.00 / Tax 1.80 / Tip 3.50 / Total 25.30 / Cash 30.00 / Change 4.70</x:v>
      </x:c>
      <x:c r="D13" s="3" t="str">
        <x:v>실제 영수증 사진/이미지 fixture를 준비하고 원본을 보존. 결제 합계 USD 25.30. 통화·날짜·수량·단가·세금·팁·거스름돈의 역할을 구별.</x:v>
      </x:c>
    </x:row>
    <x:row r="14" ht="73.5" customHeight="1">
      <x:c r="A14" s="3" t="str">
        <x:v>TD-09</x:v>
      </x:c>
      <x:c r="B14" s="3" t="str">
        <x:v>한국어 영수증 fixture</x:v>
      </x:c>
      <x:c r="C14" s="3" t="str">
        <x:v>가상 하루식당 / 서울시 중구 / 2026-10-02 12:30 / 김치찌개 2×8000=16000 / 사이다 1×2000=2000 / 합계 KRW 18000</x:v>
      </x:c>
      <x:c r="D14" s="3" t="str">
        <x:v>한국어 원문을 유지하고 EN UI에서도 자동 추출 후보를 확인. fixture 이미지는 테스트 전에 준비.</x:v>
      </x:c>
    </x:row>
    <x:row r="15" ht="73.5" customHeight="1">
      <x:c r="A15" s="3" t="str">
        <x:v>TD-10</x:v>
      </x:c>
      <x:c r="B15" s="3" t="str">
        <x:v>영문 적용 기본안</x:v>
      </x:c>
      <x:c r="C15" s="3" t="str">
        <x:v>지원 UI: 한국어/English. 최초 ko 계열은 한국어, 그 외는 English. 사용자가 선택한 언어를 최우선으로 보존.</x:v>
      </x:c>
      <x:c r="D15" s="3" t="str">
        <x:v>현재 구현 완료라는 뜻이 아니다. 언어 선택/영문 리소스 적용 후 EN 회차에서 검증. 팀에서 기본안 변경 시 기대 결과를 함께 수정.</x:v>
      </x:c>
    </x:row>
    <x:row r="16" ht="73.5" customHeight="1">
      <x:c r="A16" s="3" t="str">
        <x:v>TD-11</x:v>
      </x:c>
      <x:c r="B16" s="3" t="str">
        <x:v>숫자·날짜·시간 기본안</x:v>
      </x:c>
      <x:c r="C16" s="3" t="str">
        <x:v>내부 날짜는 ISO 달력 날짜 유지. 영문 표시는 Sep 28, 2026 또는 ISO 등 비모호 형식. 결제 시각은 여행 현지 시간. 금액은 ISO 통화와 정확한 소수 단위.</x:v>
      </x:c>
      <x:c r="D16" s="3" t="str">
        <x:v>UI 언어·기기 시간대를 바꿔도 여행 날짜·DAY·금액·통화·결제 시각은 바뀌지 않는다. EN 문구는 검토용 초안이며 제품 확정 후 기준으로 사용.</x:v>
      </x:c>
    </x:row>
    <x:row r="17" ht="73.5" customHeight="1">
      <x:c r="A17" s="3" t="str">
        <x:v>ND-01</x:v>
      </x:c>
      <x:c r="B17" s="3" t="str">
        <x:v>네트워크와 오류</x:v>
      </x:c>
      <x:c r="C17" s="3" t="str">
        <x:v>정상/느림/오프라인/중간 끊김. 401·403·409·410·422·429·503·시간초과·잘못된 응답을 QA 환경에서 제어.</x:v>
      </x:c>
      <x:c r="D17" s="3" t="str">
        <x:v>실제 사용자에게 장애를 유발하지 않는다. 성공·실패·빈 상태를 구별하고 입력 보존·동일 기록 중복 방지·복구 행동을 확인.</x:v>
      </x:c>
    </x:row>
    <x:row r="18">
      <x:c r="A18" s="3"/>
      <x:c r="B18" s="3"/>
      <x:c r="C18" s="3"/>
      <x:c r="D18" s="3"/>
    </x:row>
    <x:row r="19">
      <x:c r="A19" s="3"/>
      <x:c r="B19" s="3"/>
      <x:c r="C19" s="3"/>
      <x:c r="D19" s="3"/>
    </x:row>
    <x:row r="20">
      <x:c r="A20" s="3" t="str">
        <x:v>화면 순회 범위 39개</x:v>
      </x:c>
      <x:c r="B20" s="3"/>
      <x:c r="C20" s="3"/>
      <x:c r="D20" s="3"/>
    </x:row>
    <x:row r="21">
      <x:c r="A21" s="3"/>
      <x:c r="B21" s="3"/>
      <x:c r="C21" s="3"/>
      <x:c r="D21" s="3"/>
    </x:row>
    <x:row r="22" ht="34.5" customHeight="1">
      <x:c r="A22" s="10" t="str">
        <x:v>화면 ID</x:v>
      </x:c>
      <x:c r="B22" s="10" t="str">
        <x:v>화면·상태</x:v>
      </x:c>
      <x:c r="C22" s="10" t="str">
        <x:v>진입 위치</x:v>
      </x:c>
      <x:c r="D22" s="10" t="str">
        <x:v>공통 검사</x:v>
      </x:c>
    </x:row>
    <x:row r="23" ht="49.5" customHeight="1">
      <x:c r="A23" s="3" t="str">
        <x:v>first-visit-home</x:v>
      </x:c>
      <x:c r="B23" s="3" t="str">
        <x:v>첫 방문 홈</x:v>
      </x:c>
      <x:c r="C23" s="3" t="str">
        <x:v>/</x:v>
      </x:c>
      <x:c r="D23" s="3" t="str">
        <x:v>TXT-001~026. EN-007~010. KO·EN에서 화면 문구와 실제 다음 행동 확인.</x:v>
      </x:c>
    </x:row>
    <x:row r="24" ht="49.5" customHeight="1">
      <x:c r="A24" s="3" t="str">
        <x:v>login</x:v>
      </x:c>
      <x:c r="B24" s="3" t="str">
        <x:v>로그인</x:v>
      </x:c>
      <x:c r="C24" s="3" t="str">
        <x:v>/login</x:v>
      </x:c>
      <x:c r="D24" s="3" t="str">
        <x:v>TXT-001~026. EN-007~010. KO·EN에서 화면 문구와 실제 다음 행동 확인.</x:v>
      </x:c>
    </x:row>
    <x:row r="25" ht="49.5" customHeight="1">
      <x:c r="A25" s="3" t="str">
        <x:v>email-login</x:v>
      </x:c>
      <x:c r="B25" s="3" t="str">
        <x:v>이메일 로그인</x:v>
      </x:c>
      <x:c r="C25" s="3" t="str">
        <x:v>/login · 이메일 폼</x:v>
      </x:c>
      <x:c r="D25" s="3" t="str">
        <x:v>TXT-001~026. EN-007~010. KO·EN에서 화면 문구와 실제 다음 행동 확인.</x:v>
      </x:c>
    </x:row>
    <x:row r="26" ht="49.5" customHeight="1">
      <x:c r="A26" s="3" t="str">
        <x:v>signup</x:v>
      </x:c>
      <x:c r="B26" s="3" t="str">
        <x:v>회원가입</x:v>
      </x:c>
      <x:c r="C26" s="3" t="str">
        <x:v>/login · 회원가입 폼</x:v>
      </x:c>
      <x:c r="D26" s="3" t="str">
        <x:v>TXT-001~026. EN-007~010. KO·EN에서 화면 문구와 실제 다음 행동 확인.</x:v>
      </x:c>
    </x:row>
    <x:row r="27" ht="49.5" customHeight="1">
      <x:c r="A27" s="3" t="str">
        <x:v>my-trips</x:v>
      </x:c>
      <x:c r="B27" s="3" t="str">
        <x:v>홈 · 내 여행</x:v>
      </x:c>
      <x:c r="C27" s="3" t="str">
        <x:v>/(tabs)</x:v>
      </x:c>
      <x:c r="D27" s="3" t="str">
        <x:v>TXT-001~026. EN-007~010. KO·EN에서 화면 문구와 실제 다음 행동 확인.</x:v>
      </x:c>
    </x:row>
    <x:row r="28" ht="49.5" customHeight="1">
      <x:c r="A28" s="3" t="str">
        <x:v>loading</x:v>
      </x:c>
      <x:c r="B28" s="3" t="str">
        <x:v>홈 · 여행 복원 중</x:v>
      </x:c>
      <x:c r="C28" s="3" t="str">
        <x:v>/</x:v>
      </x:c>
      <x:c r="D28" s="3" t="str">
        <x:v>TXT-001~026. EN-007~010. KO·EN에서 화면 문구와 실제 다음 행동 확인.</x:v>
      </x:c>
    </x:row>
    <x:row r="29" ht="49.5" customHeight="1">
      <x:c r="A29" s="3" t="str">
        <x:v>haru-loading</x:v>
      </x:c>
      <x:c r="B29" s="3" t="str">
        <x:v>하루 · 계정 확인 중</x:v>
      </x:c>
      <x:c r="C29" s="3" t="str">
        <x:v>/my</x:v>
      </x:c>
      <x:c r="D29" s="3" t="str">
        <x:v>TXT-001~026. EN-007~010. KO·EN에서 화면 문구와 실제 다음 행동 확인.</x:v>
      </x:c>
    </x:row>
    <x:row r="30" ht="49.5" customHeight="1">
      <x:c r="A30" s="3" t="str">
        <x:v>new-trip</x:v>
      </x:c>
      <x:c r="B30" s="3" t="str">
        <x:v>새 여행 만들기</x:v>
      </x:c>
      <x:c r="C30" s="3" t="str">
        <x:v>/new-trip</x:v>
      </x:c>
      <x:c r="D30" s="3" t="str">
        <x:v>TXT-001~026. EN-007~010. KO·EN에서 화면 문구와 실제 다음 행동 확인.</x:v>
      </x:c>
    </x:row>
    <x:row r="31" ht="49.5" customHeight="1">
      <x:c r="A31" s="3" t="str">
        <x:v>new-trip-dates</x:v>
      </x:c>
      <x:c r="B31" s="3" t="str">
        <x:v>여행 날짜·항공 설정</x:v>
      </x:c>
      <x:c r="C31" s="3" t="str">
        <x:v>/new-trip · 아래쪽</x:v>
      </x:c>
      <x:c r="D31" s="3" t="str">
        <x:v>TXT-001~026. EN-007~010. KO·EN에서 화면 문구와 실제 다음 행동 확인.</x:v>
      </x:c>
    </x:row>
    <x:row r="32" ht="49.5" customHeight="1">
      <x:c r="A32" s="3" t="str">
        <x:v>trip-detail</x:v>
      </x:c>
      <x:c r="B32" s="3" t="str">
        <x:v>여행 상세</x:v>
      </x:c>
      <x:c r="C32" s="3" t="str">
        <x:v>/trips/[id]</x:v>
      </x:c>
      <x:c r="D32" s="3" t="str">
        <x:v>TXT-001~026. EN-007~010. KO·EN에서 화면 문구와 실제 다음 행동 확인.</x:v>
      </x:c>
    </x:row>
    <x:row r="33" ht="49.5" customHeight="1">
      <x:c r="A33" s="3" t="str">
        <x:v>schedule-editor</x:v>
      </x:c>
      <x:c r="B33" s="3" t="str">
        <x:v>일정·지도 장소 추가</x:v>
      </x:c>
      <x:c r="C33" s="3" t="str">
        <x:v>/trips/[id] · 일정 작성</x:v>
      </x:c>
      <x:c r="D33" s="3" t="str">
        <x:v>TXT-001~026. EN-007~010. KO·EN에서 화면 문구와 실제 다음 행동 확인.</x:v>
      </x:c>
    </x:row>
    <x:row r="34" ht="49.5" customHeight="1">
      <x:c r="A34" s="3" t="str">
        <x:v>expense-editor</x:v>
      </x:c>
      <x:c r="B34" s="3" t="str">
        <x:v>비용 작성</x:v>
      </x:c>
      <x:c r="C34" s="3" t="str">
        <x:v>/trips/[id] · 비용 작성</x:v>
      </x:c>
      <x:c r="D34" s="3" t="str">
        <x:v>TXT-001~026. EN-007~010. KO·EN에서 화면 문구와 실제 다음 행동 확인.</x:v>
      </x:c>
    </x:row>
    <x:row r="35" ht="49.5" customHeight="1">
      <x:c r="A35" s="3" t="str">
        <x:v>trip-status</x:v>
      </x:c>
      <x:c r="B35" s="3" t="str">
        <x:v>여행 정보·종료</x:v>
      </x:c>
      <x:c r="C35" s="3" t="str">
        <x:v>/trips/[id] · 상태 수정</x:v>
      </x:c>
      <x:c r="D35" s="3" t="str">
        <x:v>TXT-001~026. EN-007~010. KO·EN에서 화면 문구와 실제 다음 행동 확인.</x:v>
      </x:c>
    </x:row>
    <x:row r="36" ht="49.5" customHeight="1">
      <x:c r="A36" s="3" t="str">
        <x:v>trip-period</x:v>
      </x:c>
      <x:c r="B36" s="3" t="str">
        <x:v>여행 기간 변경</x:v>
      </x:c>
      <x:c r="C36" s="3" t="str">
        <x:v>/trips/[id] · 기간 수정</x:v>
      </x:c>
      <x:c r="D36" s="3" t="str">
        <x:v>TXT-001~026. EN-007~010. KO·EN에서 화면 문구와 실제 다음 행동 확인.</x:v>
      </x:c>
    </x:row>
    <x:row r="37" ht="49.5" customHeight="1">
      <x:c r="A37" s="3" t="str">
        <x:v>trip-costs</x:v>
      </x:c>
      <x:c r="B37" s="3" t="str">
        <x:v>여행 비용 내역</x:v>
      </x:c>
      <x:c r="C37" s="3" t="str">
        <x:v>/trips/[id] · 비용 영역</x:v>
      </x:c>
      <x:c r="D37" s="3" t="str">
        <x:v>TXT-001~026. EN-007~010. KO·EN에서 화면 문구와 실제 다음 행동 확인.</x:v>
      </x:c>
    </x:row>
    <x:row r="38" ht="49.5" customHeight="1">
      <x:c r="A38" s="3" t="str">
        <x:v>trip-media</x:v>
      </x:c>
      <x:c r="B38" s="3" t="str">
        <x:v>사진·영수증 내역</x:v>
      </x:c>
      <x:c r="C38" s="3" t="str">
        <x:v>/trips/[id] · 사진 영역</x:v>
      </x:c>
      <x:c r="D38" s="3" t="str">
        <x:v>TXT-001~026. EN-007~010. KO·EN에서 화면 문구와 실제 다음 행동 확인.</x:v>
      </x:c>
    </x:row>
    <x:row r="39" ht="49.5" customHeight="1">
      <x:c r="A39" s="3" t="str">
        <x:v>receipt-scan-error</x:v>
      </x:c>
      <x:c r="B39" s="3" t="str">
        <x:v>영수증 인식 실패·재스캔</x:v>
      </x:c>
      <x:c r="C39" s="3" t="str">
        <x:v>/trips/[id] · 영수증 확인</x:v>
      </x:c>
      <x:c r="D39" s="3" t="str">
        <x:v>TXT-001~026. EN-007~010. KO·EN에서 화면 문구와 실제 다음 행동 확인.</x:v>
      </x:c>
    </x:row>
    <x:row r="40" ht="49.5" customHeight="1">
      <x:c r="A40" s="3" t="str">
        <x:v>trip-checklist</x:v>
      </x:c>
      <x:c r="B40" s="3" t="str">
        <x:v>준비물 체크리스트</x:v>
      </x:c>
      <x:c r="C40" s="3" t="str">
        <x:v>/trips/[id] · 준비물 영역</x:v>
      </x:c>
      <x:c r="D40" s="3" t="str">
        <x:v>TXT-001~026. EN-007~010. KO·EN에서 화면 문구와 실제 다음 행동 확인.</x:v>
      </x:c>
    </x:row>
    <x:row r="41" ht="49.5" customHeight="1">
      <x:c r="A41" s="3" t="str">
        <x:v>trip-companions</x:v>
      </x:c>
      <x:c r="B41" s="3" t="str">
        <x:v>동행·초대 권한</x:v>
      </x:c>
      <x:c r="C41" s="3" t="str">
        <x:v>/trips/[id] · 동행 영역</x:v>
      </x:c>
      <x:c r="D41" s="3" t="str">
        <x:v>TXT-001~026. EN-007~010. KO·EN에서 화면 문구와 실제 다음 행동 확인.</x:v>
      </x:c>
    </x:row>
    <x:row r="42" ht="49.5" customHeight="1">
      <x:c r="A42" s="3" t="str">
        <x:v>publish-editor</x:v>
      </x:c>
      <x:c r="B42" s="3" t="str">
        <x:v>커뮤니티 공유 작성</x:v>
      </x:c>
      <x:c r="C42" s="3" t="str">
        <x:v>/trips/[id] · 공개 작성</x:v>
      </x:c>
      <x:c r="D42" s="3" t="str">
        <x:v>TXT-001~026. EN-007~010. KO·EN에서 화면 문구와 실제 다음 행동 확인.</x:v>
      </x:c>
    </x:row>
    <x:row r="43" ht="49.5" customHeight="1">
      <x:c r="A43" s="3" t="str">
        <x:v>footprints</x:v>
      </x:c>
      <x:c r="B43" s="3" t="str">
        <x:v>나의 발자국</x:v>
      </x:c>
      <x:c r="C43" s="3" t="str">
        <x:v>/footprints</x:v>
      </x:c>
      <x:c r="D43" s="3" t="str">
        <x:v>TXT-001~026. EN-007~010. KO·EN에서 화면 문구와 실제 다음 행동 확인.</x:v>
      </x:c>
    </x:row>
    <x:row r="44" ht="49.5" customHeight="1">
      <x:c r="A44" s="3" t="str">
        <x:v>diary</x:v>
      </x:c>
      <x:c r="B44" s="3" t="str">
        <x:v>여행 다이어리</x:v>
      </x:c>
      <x:c r="C44" s="3" t="str">
        <x:v>/diary/[id]</x:v>
      </x:c>
      <x:c r="D44" s="3" t="str">
        <x:v>TXT-001~026. EN-007~010. KO·EN에서 화면 문구와 실제 다음 행동 확인.</x:v>
      </x:c>
    </x:row>
    <x:row r="45" ht="49.5" customHeight="1">
      <x:c r="A45" s="3" t="str">
        <x:v>community</x:v>
      </x:c>
      <x:c r="B45" s="3" t="str">
        <x:v>여행 커뮤니티</x:v>
      </x:c>
      <x:c r="C45" s="3" t="str">
        <x:v>/community</x:v>
      </x:c>
      <x:c r="D45" s="3" t="str">
        <x:v>TXT-001~026. EN-007~010. KO·EN에서 화면 문구와 실제 다음 행동 확인.</x:v>
      </x:c>
    </x:row>
    <x:row r="46" ht="49.5" customHeight="1">
      <x:c r="A46" s="3" t="str">
        <x:v>community-report</x:v>
      </x:c>
      <x:c r="B46" s="3" t="str">
        <x:v>게시글 신고</x:v>
      </x:c>
      <x:c r="C46" s="3" t="str">
        <x:v>/community · 신고 폼</x:v>
      </x:c>
      <x:c r="D46" s="3" t="str">
        <x:v>TXT-001~026. EN-007~010. KO·EN에서 화면 문구와 실제 다음 행동 확인.</x:v>
      </x:c>
    </x:row>
    <x:row r="47" ht="49.5" customHeight="1">
      <x:c r="A47" s="3" t="str">
        <x:v>my-profile</x:v>
      </x:c>
      <x:c r="B47" s="3" t="str">
        <x:v>마이·설정</x:v>
      </x:c>
      <x:c r="C47" s="3" t="str">
        <x:v>/my</x:v>
      </x:c>
      <x:c r="D47" s="3" t="str">
        <x:v>TXT-001~026. EN-007~010. KO·EN에서 화면 문구와 실제 다음 행동 확인.</x:v>
      </x:c>
    </x:row>
    <x:row r="48" ht="49.5" customHeight="1">
      <x:c r="A48" s="3" t="str">
        <x:v>profile-editor</x:v>
      </x:c>
      <x:c r="B48" s="3" t="str">
        <x:v>프로필 수정</x:v>
      </x:c>
      <x:c r="C48" s="3" t="str">
        <x:v>/my · 프로필 편집</x:v>
      </x:c>
      <x:c r="D48" s="3" t="str">
        <x:v>TXT-001~026. EN-007~010. KO·EN에서 화면 문구와 실제 다음 행동 확인.</x:v>
      </x:c>
    </x:row>
    <x:row r="49" ht="49.5" customHeight="1">
      <x:c r="A49" s="3" t="str">
        <x:v>invite</x:v>
      </x:c>
      <x:c r="B49" s="3" t="str">
        <x:v>여행 초대 수락</x:v>
      </x:c>
      <x:c r="C49" s="3" t="str">
        <x:v>/invite</x:v>
      </x:c>
      <x:c r="D49" s="3" t="str">
        <x:v>TXT-001~026. EN-007~010. KO·EN에서 화면 문구와 실제 다음 행동 확인.</x:v>
      </x:c>
    </x:row>
    <x:row r="50" ht="49.5" customHeight="1">
      <x:c r="A50" s="3" t="str">
        <x:v>maps-import</x:v>
      </x:c>
      <x:c r="B50" s="3" t="str">
        <x:v>Google Maps 공유 가져오기</x:v>
      </x:c>
      <x:c r="C50" s="3" t="str">
        <x:v>/import-place</x:v>
      </x:c>
      <x:c r="D50" s="3" t="str">
        <x:v>TXT-001~026. EN-007~010. KO·EN에서 화면 문구와 실제 다음 행동 확인.</x:v>
      </x:c>
    </x:row>
    <x:row r="51" ht="49.5" customHeight="1">
      <x:c r="A51" s="3" t="str">
        <x:v>local-records</x:v>
      </x:c>
      <x:c r="B51" s="3" t="str">
        <x:v>기기에 저장된 이전 기록</x:v>
      </x:c>
      <x:c r="C51" s="3" t="str">
        <x:v>/local-records</x:v>
      </x:c>
      <x:c r="D51" s="3" t="str">
        <x:v>TXT-001~026. EN-007~010. KO·EN에서 화면 문구와 실제 다음 행동 확인.</x:v>
      </x:c>
    </x:row>
    <x:row r="52" ht="49.5" customHeight="1">
      <x:c r="A52" s="3" t="str">
        <x:v>haru-error</x:v>
      </x:c>
      <x:c r="B52" s="3" t="str">
        <x:v>하루 · 조회 오류</x:v>
      </x:c>
      <x:c r="C52" s="3" t="str">
        <x:v>/community</x:v>
      </x:c>
      <x:c r="D52" s="3" t="str">
        <x:v>TXT-001~026. EN-007~010. KO·EN에서 화면 문구와 실제 다음 행동 확인.</x:v>
      </x:c>
    </x:row>
    <x:row r="53" ht="49.5" customHeight="1">
      <x:c r="A53" s="3" t="str">
        <x:v>haru-empty</x:v>
      </x:c>
      <x:c r="B53" s="3" t="str">
        <x:v>하루 · 첫 기록 안내</x:v>
      </x:c>
      <x:c r="C53" s="3" t="str">
        <x:v>/community</x:v>
      </x:c>
      <x:c r="D53" s="3" t="str">
        <x:v>TXT-001~026. EN-007~010. KO·EN에서 화면 문구와 실제 다음 행동 확인.</x:v>
      </x:c>
    </x:row>
    <x:row r="54" ht="49.5" customHeight="1">
      <x:c r="A54" s="3" t="str">
        <x:v>haru-not-found</x:v>
      </x:c>
      <x:c r="B54" s="3" t="str">
        <x:v>하루 · 잘못된 주소</x:v>
      </x:c>
      <x:c r="C54" s="3" t="str">
        <x:v>존재하지 않는 주소</x:v>
      </x:c>
      <x:c r="D54" s="3" t="str">
        <x:v>TXT-001~026. EN-007~010. KO·EN에서 화면 문구와 실제 다음 행동 확인.</x:v>
      </x:c>
    </x:row>
    <x:row r="55" ht="49.5" customHeight="1">
      <x:c r="A55" s="3" t="str">
        <x:v>auth-callback</x:v>
      </x:c>
      <x:c r="B55" s="3" t="str">
        <x:v>인증 복귀 안내</x:v>
      </x:c>
      <x:c r="C55" s="3" t="str">
        <x:v>/auth/callback</x:v>
      </x:c>
      <x:c r="D55" s="3" t="str">
        <x:v>TXT-001~026. EN-007~010. KO·EN에서 화면 문구와 실제 다음 행동 확인.</x:v>
      </x:c>
    </x:row>
    <x:row r="56" ht="49.5" customHeight="1">
      <x:c r="A56" s="3" t="str">
        <x:v>receipt-loading</x:v>
      </x:c>
      <x:c r="B56" s="3" t="str">
        <x:v>하루 · 영수증을 읽는 중</x:v>
      </x:c>
      <x:c r="C56" s="3" t="str">
        <x:v>/trips/[id] · 영수증 사진 스캔</x:v>
      </x:c>
      <x:c r="D56" s="3" t="str">
        <x:v>TXT-001~026. EN-007~010. KO·EN에서 화면 문구와 실제 다음 행동 확인.</x:v>
      </x:c>
    </x:row>
    <x:row r="57" ht="49.5" customHeight="1">
      <x:c r="A57" s="3" t="str">
        <x:v>receipt-editor</x:v>
      </x:c>
      <x:c r="B57" s="3" t="str">
        <x:v>영수증 자동 인식 확인</x:v>
      </x:c>
      <x:c r="C57" s="3" t="str">
        <x:v>/trips/[id] · 영수증 사진 스캔</x:v>
      </x:c>
      <x:c r="D57" s="3" t="str">
        <x:v>TXT-001~026. EN-007~010. KO·EN에서 화면 문구와 실제 다음 행동 확인.</x:v>
      </x:c>
    </x:row>
    <x:row r="58" ht="49.5" customHeight="1">
      <x:c r="A58" s="3" t="str">
        <x:v>receipt-items</x:v>
      </x:c>
      <x:c r="B58" s="3" t="str">
        <x:v>영수증 메뉴·가격 확인</x:v>
      </x:c>
      <x:c r="C58" s="3" t="str">
        <x:v>/trips/[id] · 영수증 사진 스캔</x:v>
      </x:c>
      <x:c r="D58" s="3" t="str">
        <x:v>TXT-001~026. EN-007~010. KO·EN에서 화면 문구와 실제 다음 행동 확인.</x:v>
      </x:c>
    </x:row>
    <x:row r="59" ht="49.5" customHeight="1">
      <x:c r="A59" s="3" t="str">
        <x:v>receipt-registered</x:v>
      </x:c>
      <x:c r="B59" s="3" t="str">
        <x:v>DAY3 · 장소 기록 등록 완료</x:v>
      </x:c>
      <x:c r="C59" s="3" t="str">
        <x:v>/trips/[id] · 영수증 사진 스캔</x:v>
      </x:c>
      <x:c r="D59" s="3" t="str">
        <x:v>TXT-001~026. EN-007~010. KO·EN에서 화면 문구와 실제 다음 행동 확인.</x:v>
      </x:c>
    </x:row>
    <x:row r="60" ht="49.5" customHeight="1">
      <x:c r="A60" s="3" t="str">
        <x:v>receipt-saved</x:v>
      </x:c>
      <x:c r="B60" s="3" t="str">
        <x:v>원본·주소·메뉴 저장 내역</x:v>
      </x:c>
      <x:c r="C60" s="3" t="str">
        <x:v>/trips/[id] · 영수증 사진 스캔</x:v>
      </x:c>
      <x:c r="D60" s="3" t="str">
        <x:v>TXT-001~026. EN-007~010. KO·EN에서 화면 문구와 실제 다음 행동 확인.</x:v>
      </x:c>
    </x:row>
    <x:row r="61" ht="49.5" customHeight="1">
      <x:c r="A61" s="3" t="str">
        <x:v>receipt-cost</x:v>
      </x:c>
      <x:c r="B61" s="3" t="str">
        <x:v>영수증 실제 지출</x:v>
      </x:c>
      <x:c r="C61" s="3" t="str">
        <x:v>/trips/[id] · 영수증 사진 스캔</x:v>
      </x:c>
      <x:c r="D61" s="3" t="str">
        <x:v>TXT-001~026. EN-007~010. KO·EN에서 화면 문구와 실제 다음 행동 확인.</x:v>
      </x:c>
    </x:row>
  </x:sheetData>
  <x:pageMargins left="0.7" right="0.7" top="0.75" bottom="0.75" header="0.3" footer="0.3"/>
  <x:tableParts count="2">
    <x:tablePart xmlns:r="http://schemas.openxmlformats.org/officeDocument/2006/relationships" r:id="R596551e2bf1a411d"/>
    <x:tablePart xmlns:r="http://schemas.openxmlformats.org/officeDocument/2006/relationships" r:id="R171b72e38e4d4975"/>
  </x:tableParts>
</x:worksheet>
</file>